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oy Example" sheetId="2" state="visible" r:id="rId2"/>
    <sheet name="Stanmere Close 2" sheetId="3" state="visible" r:id="rId3"/>
    <sheet name="Stanmere Close 3" sheetId="4" state="visible" r:id="rId4"/>
    <sheet name="Your Own Numb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6E56"/>
      <sz val="14"/>
    </font>
    <font>
      <b val="1"/>
    </font>
    <font>
      <i val="1"/>
      <color rgb="006B6857"/>
      <sz val="10"/>
    </font>
  </fonts>
  <fills count="4">
    <fill>
      <patternFill/>
    </fill>
    <fill>
      <patternFill patternType="gray125"/>
    </fill>
    <fill>
      <patternFill patternType="solid">
        <fgColor rgb="00DCE9F7"/>
        <bgColor rgb="00DCE9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8D2C0"/>
      </left>
      <right style="thin">
        <color rgb="00D8D2C0"/>
      </right>
      <top style="thin">
        <color rgb="00D8D2C0"/>
      </top>
      <bottom style="thin">
        <color rgb="00D8D2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4" fontId="0" fillId="2" borderId="1" pivotButton="0" quotePrefix="0" xfId="0"/>
    <xf numFmtId="10" fontId="0" fillId="2" borderId="1" pivotButton="0" quotePrefix="0" xfId="0"/>
    <xf numFmtId="10" fontId="0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0" fontId="0" fillId="2" borderId="1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PE101 Module 1.4 Closes and Equalization -- Equalization Calculator</t>
        </is>
      </c>
    </row>
    <row r="3">
      <c r="A3" t="inlineStr">
        <is>
          <t>What this workbook does</t>
        </is>
      </c>
    </row>
    <row r="4">
      <c r="A4" t="inlineStr">
        <is>
          <t>Models the two pieces of a later-closing equalization event: the true-up contribution</t>
        </is>
      </c>
    </row>
    <row r="5">
      <c r="A5" t="inlineStr">
        <is>
          <t>(leveling capital already called) and equalization interest (compensating earlier partners</t>
        </is>
      </c>
    </row>
    <row r="6">
      <c r="A6" t="inlineStr">
        <is>
          <t>for time). Blue cells are inputs you can change. Amber cells are fixed case data from the case workbook -- neither inputs nor formulas; editing them breaks the tie-out. Most other cells are formulas.</t>
        </is>
      </c>
    </row>
    <row r="8">
      <c r="A8" s="2" t="inlineStr">
        <is>
          <t>Tabs</t>
        </is>
      </c>
    </row>
    <row r="9">
      <c r="A9" t="inlineStr">
        <is>
          <t xml:space="preserve">  1. Toy Example -- the $100 / $100 two-partner example from the module's Section 1.</t>
        </is>
      </c>
    </row>
    <row r="10">
      <c r="A10" t="inlineStr">
        <is>
          <t xml:space="preserve">  2. Stanmere Close 2 -- Stanmere Capital Partners I, L.P.'s real second closing.</t>
        </is>
      </c>
    </row>
    <row r="11">
      <c r="A11" t="inlineStr">
        <is>
          <t xml:space="preserve">     The true-up contribution formula reproduces the case's $15,500,000.00 exactly.</t>
        </is>
      </c>
    </row>
    <row r="12">
      <c r="A12" t="inlineStr">
        <is>
          <t xml:space="preserve">     The equalization-interest section shows Stanmere's rate (8%, simple) applied to a</t>
        </is>
      </c>
    </row>
    <row r="13">
      <c r="A13" t="inlineStr">
        <is>
          <t xml:space="preserve">     simplified single-period basis, alongside the actual recorded amount from the case</t>
        </is>
      </c>
    </row>
    <row r="14">
      <c r="A14" t="inlineStr">
        <is>
          <t xml:space="preserve">     workbook's Investor Allocations tab (row 22) for comparison -- see the note on that</t>
        </is>
      </c>
    </row>
    <row r="15">
      <c r="A15" t="inlineStr">
        <is>
          <t xml:space="preserve">     tab. The two will not match exactly: Stanmere's real interest is a blended figure</t>
        </is>
      </c>
    </row>
    <row r="16">
      <c r="A16" t="inlineStr">
        <is>
          <t xml:space="preserve">     across each quarter's separately-dated capital calls, not one flat calculation.</t>
        </is>
      </c>
    </row>
    <row r="17">
      <c r="A17" t="inlineStr">
        <is>
          <t xml:space="preserve">  3. Stanmere Close 3 -- the same mechanics at the fund's final closing.</t>
        </is>
      </c>
    </row>
    <row r="18">
      <c r="A18" t="inlineStr">
        <is>
          <t xml:space="preserve">  4. Your Own Numbers -- a blank template using the identical formulas, for a different</t>
        </is>
      </c>
    </row>
    <row r="19">
      <c r="A19" t="inlineStr">
        <is>
          <t xml:space="preserve">     fund or a different commitment mix.</t>
        </is>
      </c>
    </row>
    <row r="21">
      <c r="A21" t="inlineStr">
        <is>
          <t>Source of every Stanmere figure: the case workbook's Fund Terms, Partners, Journal Entries</t>
        </is>
      </c>
    </row>
    <row r="22">
      <c r="A22" s="3" t="inlineStr">
        <is>
          <t>and Allocations tabs. See the course Resources appendix's tie-out map for the exact cell</t>
        </is>
      </c>
    </row>
    <row r="23">
      <c r="A23" t="inlineStr">
        <is>
          <t>behind every figure printed in the course.</t>
        </is>
      </c>
    </row>
    <row r="25">
      <c r="A25" t="inlineStr">
        <is>
          <t>Disclosure: Stanmere Capital Partners I, L.P. and every entity named in this workbook</t>
        </is>
      </c>
    </row>
    <row r="26">
      <c r="A26" t="inlineStr">
        <is>
          <t>are fictional and were created for instructional purposes. Any resemblance to an actual</t>
        </is>
      </c>
    </row>
    <row r="27">
      <c r="A27" t="inlineStr">
        <is>
          <t>fund, firm or company is coincidental.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>
      <c r="A1" s="1" t="inlineStr">
        <is>
          <t>Toy Example -- Two $100 Commitments</t>
        </is>
      </c>
    </row>
    <row r="2" ht="45" customHeight="1">
      <c r="A2" s="4" t="inlineStr">
        <is>
          <t>The mechanism from Section 1: Partner A joins on day one and funds a $200 call alone. Three months later Partner B joins with a matching $1,000 commitment. Edit the blue cells to see the true-up and refund move.</t>
        </is>
      </c>
    </row>
    <row r="4">
      <c r="A4" s="2" t="inlineStr">
        <is>
          <t>Step 1 -- Inputs</t>
        </is>
      </c>
    </row>
    <row r="5">
      <c r="A5" t="inlineStr">
        <is>
          <t>Capital called to date (before this close)</t>
        </is>
      </c>
      <c r="B5" s="5" t="n">
        <v>200</v>
      </c>
    </row>
    <row r="6">
      <c r="A6" t="inlineStr">
        <is>
          <t>New commitments admitted at this close</t>
        </is>
      </c>
      <c r="B6" s="5" t="n">
        <v>1000</v>
      </c>
    </row>
    <row r="7">
      <c r="A7" t="inlineStr">
        <is>
          <t>Total commitments after this close</t>
        </is>
      </c>
      <c r="B7" s="5" t="n">
        <v>2000</v>
      </c>
    </row>
    <row r="8">
      <c r="A8" t="inlineStr">
        <is>
          <t>Equalization interest rate (simple, annualized)</t>
        </is>
      </c>
      <c r="B8" s="6" t="n">
        <v>0.08</v>
      </c>
    </row>
    <row r="10">
      <c r="A10" s="2" t="inlineStr">
        <is>
          <t>Step 2 -- True-up contribution (the formula)</t>
        </is>
      </c>
    </row>
    <row r="11">
      <c r="A11" t="inlineStr">
        <is>
          <t>New partners' share of total commitments</t>
        </is>
      </c>
      <c r="B11" s="7">
        <f>B6/B7</f>
        <v/>
      </c>
    </row>
    <row r="12">
      <c r="A12" t="inlineStr">
        <is>
          <t>True-up contribution = called-to-date x new share</t>
        </is>
      </c>
      <c r="B12" s="8">
        <f>B5*B11</f>
        <v/>
      </c>
    </row>
    <row r="15">
      <c r="A15" s="2" t="inlineStr">
        <is>
          <t>Step 3 -- Refund to the partners who funded the calls alone</t>
        </is>
      </c>
      <c r="B15" s="2" t="inlineStr">
        <is>
          <t>Original commitment</t>
        </is>
      </c>
      <c r="C15" s="2" t="inlineStr">
        <is>
          <t>Share of old base</t>
        </is>
      </c>
      <c r="D15" s="2" t="inlineStr">
        <is>
          <t>Refund received</t>
        </is>
      </c>
    </row>
    <row r="16">
      <c r="A16" t="inlineStr">
        <is>
          <t>Partner A</t>
        </is>
      </c>
      <c r="B16" s="5" t="n">
        <v>1000</v>
      </c>
      <c r="C16" s="7">
        <f>B16/SUM(B16:B16)</f>
        <v/>
      </c>
      <c r="D16" s="8">
        <f>$B$12*C16</f>
        <v/>
      </c>
    </row>
    <row r="17">
      <c r="A17" s="2" t="inlineStr">
        <is>
          <t>Total</t>
        </is>
      </c>
      <c r="D17" s="9">
        <f>SUM(D16:D16)</f>
        <v/>
      </c>
    </row>
    <row r="18">
      <c r="A18" s="3" t="inlineStr">
        <is>
          <t>Independent recomputation: total refund above must equal the Step 2 true-up contribution.</t>
        </is>
      </c>
    </row>
    <row r="19">
      <c r="A19" t="inlineStr">
        <is>
          <t>Difference (should be 0.00)</t>
        </is>
      </c>
      <c r="D19" s="8">
        <f>D17-B12</f>
        <v/>
      </c>
    </row>
    <row r="21">
      <c r="A21" s="2" t="inlineStr">
        <is>
          <t>Step 4 -- Equalization interest</t>
        </is>
      </c>
    </row>
    <row r="22">
      <c r="A22" s="3" t="inlineStr">
        <is>
          <t>Simplified single-period interest = true-up x rate x (days/365)</t>
        </is>
      </c>
    </row>
    <row r="23">
      <c r="A23" t="inlineStr">
        <is>
          <t>Illustrative days outstanding (edit to test)</t>
        </is>
      </c>
      <c r="B23" s="10" t="n">
        <v>90</v>
      </c>
    </row>
    <row r="24">
      <c r="A24" t="inlineStr">
        <is>
          <t>Illustrative simplified interest (NOT Stanmere's actual figure)</t>
        </is>
      </c>
      <c r="B24" s="8">
        <f>B12*B8*B23/365</f>
        <v/>
      </c>
    </row>
    <row r="25">
      <c r="A25" t="inlineStr">
        <is>
          <t>Interest used in the module's Section 1 example (8% a year for one quarter)</t>
        </is>
      </c>
      <c r="B25" s="11" t="n">
        <v>2</v>
      </c>
    </row>
    <row r="26" ht="60" customHeight="1">
      <c r="A26" s="4" t="inlineStr">
        <is>
          <t>This toy figure ($2.00) is fixed to match the module's Section 1 example; it is not case data.</t>
        </is>
      </c>
    </row>
    <row r="28">
      <c r="A28" s="2" t="inlineStr">
        <is>
          <t>Step 5 -- Total cash-neutral fund-level entry</t>
        </is>
      </c>
    </row>
    <row r="29">
      <c r="A29" t="inlineStr">
        <is>
          <t>True-up contribution + the module's fixed interest (this row does not change if you edit the rate or days above)</t>
        </is>
      </c>
      <c r="B29" s="8">
        <f>B12+B25</f>
        <v/>
      </c>
    </row>
    <row r="31">
      <c r="A31" t="inlineStr">
        <is>
          <t>Scenario total using the illustrative calculated interest above (this row does change if you edit the rate or days)</t>
        </is>
      </c>
      <c r="B31">
        <f>B12+B24</f>
        <v/>
      </c>
    </row>
  </sheetData>
  <mergeCells count="3">
    <mergeCell ref="A2:E2"/>
    <mergeCell ref="A18:E18"/>
    <mergeCell ref="A26:E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>
      <c r="A1" s="1" t="inlineStr">
        <is>
          <t>Stanmere Capital Partners I, L.P. -- Close 2 (1 Oct 2019)</t>
        </is>
      </c>
    </row>
    <row r="2" ht="45" customHeight="1">
      <c r="A2" s="4" t="inlineStr">
        <is>
          <t>Real Stanmere figures. Capital called to date and the three original partners' commitments are from the case workbook's Fund Terms, Partners and Allocations tabs. The true-up formula in Step 2 reproduces the case's $15,500,000.00 exactly, and Step 3's per-partner refunds tie to the Allocations tab's quarterly capital-contributions figures once combined with that quarter's ordinary capital call (see the course Resources appendix's tie-out map for the full citation).</t>
        </is>
      </c>
    </row>
    <row r="4">
      <c r="A4" s="2" t="inlineStr">
        <is>
          <t>Step 1 -- Inputs</t>
        </is>
      </c>
    </row>
    <row r="5">
      <c r="A5" t="inlineStr">
        <is>
          <t>Capital called to date (before this close)</t>
        </is>
      </c>
      <c r="B5" s="5" t="n">
        <v>46500000</v>
      </c>
    </row>
    <row r="6">
      <c r="A6" t="inlineStr">
        <is>
          <t>New commitments admitted at this close</t>
        </is>
      </c>
      <c r="B6" s="5" t="n">
        <v>60000000</v>
      </c>
    </row>
    <row r="7">
      <c r="A7" t="inlineStr">
        <is>
          <t>Total commitments after this close</t>
        </is>
      </c>
      <c r="B7" s="5" t="n">
        <v>180000000</v>
      </c>
    </row>
    <row r="8">
      <c r="A8" t="inlineStr">
        <is>
          <t>Equalization interest rate (simple, annualized)</t>
        </is>
      </c>
      <c r="B8" s="6" t="n">
        <v>0.08</v>
      </c>
    </row>
    <row r="10">
      <c r="A10" s="2" t="inlineStr">
        <is>
          <t>Step 2 -- True-up contribution (the formula)</t>
        </is>
      </c>
    </row>
    <row r="11">
      <c r="A11" t="inlineStr">
        <is>
          <t>New partners' share of total commitments</t>
        </is>
      </c>
      <c r="B11" s="7">
        <f>B6/B7</f>
        <v/>
      </c>
    </row>
    <row r="12">
      <c r="A12" t="inlineStr">
        <is>
          <t>True-up contribution = called-to-date x new share</t>
        </is>
      </c>
      <c r="B12" s="8">
        <f>B5*B11</f>
        <v/>
      </c>
    </row>
    <row r="15">
      <c r="A15" s="2" t="inlineStr">
        <is>
          <t>Step 3 -- Refund to the partners who funded the calls alone</t>
        </is>
      </c>
      <c r="B15" s="2" t="inlineStr">
        <is>
          <t>Original commitment</t>
        </is>
      </c>
      <c r="C15" s="2" t="inlineStr">
        <is>
          <t>Share of old base</t>
        </is>
      </c>
      <c r="D15" s="2" t="inlineStr">
        <is>
          <t>Refund received</t>
        </is>
      </c>
    </row>
    <row r="16">
      <c r="A16" t="inlineStr">
        <is>
          <t>Stanmere Capital GP I, LLC</t>
        </is>
      </c>
      <c r="B16" s="5" t="n">
        <v>5000000</v>
      </c>
      <c r="C16" s="7">
        <f>B16/SUM(B16:B18)</f>
        <v/>
      </c>
      <c r="D16" s="8">
        <f>$B$12*C16</f>
        <v/>
      </c>
    </row>
    <row r="17">
      <c r="A17" t="inlineStr">
        <is>
          <t>Kelbrook State Retirement System</t>
        </is>
      </c>
      <c r="B17" s="5" t="n">
        <v>75000000</v>
      </c>
      <c r="C17" s="7">
        <f>B17/SUM(B16:B18)</f>
        <v/>
      </c>
      <c r="D17" s="8">
        <f>$B$12*C17</f>
        <v/>
      </c>
    </row>
    <row r="18">
      <c r="A18" t="inlineStr">
        <is>
          <t>Ashfield University Endowment</t>
        </is>
      </c>
      <c r="B18" s="5" t="n">
        <v>40000000</v>
      </c>
      <c r="C18" s="7">
        <f>B18/SUM(B16:B18)</f>
        <v/>
      </c>
      <c r="D18" s="8">
        <f>$B$12*C18</f>
        <v/>
      </c>
    </row>
    <row r="19">
      <c r="A19" s="2" t="inlineStr">
        <is>
          <t>Total</t>
        </is>
      </c>
      <c r="D19" s="9">
        <f>SUM(D16:D18)</f>
        <v/>
      </c>
    </row>
    <row r="20">
      <c r="A20" s="3" t="inlineStr">
        <is>
          <t>Independent recomputation: total refund above must equal the Step 2 true-up contribution.</t>
        </is>
      </c>
    </row>
    <row r="21">
      <c r="A21" t="inlineStr">
        <is>
          <t>Difference (should be 0.00)</t>
        </is>
      </c>
      <c r="D21" s="8">
        <f>D19-B12</f>
        <v/>
      </c>
    </row>
    <row r="23">
      <c r="A23" s="2" t="inlineStr">
        <is>
          <t>Step 4 -- Equalization interest</t>
        </is>
      </c>
    </row>
    <row r="24">
      <c r="A24" s="3" t="inlineStr">
        <is>
          <t>Simplified single-period interest = true-up x rate x (days/365)</t>
        </is>
      </c>
    </row>
    <row r="25">
      <c r="A25" t="inlineStr">
        <is>
          <t>Illustrative days outstanding (edit to test)</t>
        </is>
      </c>
      <c r="B25" s="10" t="n">
        <v>180</v>
      </c>
    </row>
    <row r="26">
      <c r="A26" t="inlineStr">
        <is>
          <t>Illustrative simplified interest (NOT Stanmere's actual figure)</t>
        </is>
      </c>
      <c r="B26" s="8">
        <f>B12*B8*B25/365</f>
        <v/>
      </c>
    </row>
    <row r="27">
      <c r="A27" t="inlineStr">
        <is>
          <t>Actual equalization interest recorded for this close (from the case workbook)</t>
        </is>
      </c>
      <c r="B27" s="11" t="n">
        <v>641000.91</v>
      </c>
    </row>
    <row r="28" ht="60" customHeight="1">
      <c r="A28" s="4" t="inlineStr">
        <is>
          <t>Source: case workbook Investor Allocations tab, row 22. This is a memo line -- it does not post to any partner's capital account. The simplified single-period formula above is a teaching approximation and will not exactly reproduce this blended, multi-tranche figure; do not treat the two as reconciled to the penny.</t>
        </is>
      </c>
    </row>
    <row r="30">
      <c r="A30" s="2" t="inlineStr">
        <is>
          <t>Step 5 -- Total cash-neutral fund-level entry</t>
        </is>
      </c>
    </row>
    <row r="31">
      <c r="A31" t="inlineStr">
        <is>
          <t>True-up contribution + actual recorded interest (Stanmere's historical total; fixed, and does not change if you edit the rate above -- see the scenario row below)</t>
        </is>
      </c>
      <c r="B31" s="8">
        <f>B12+B27</f>
        <v/>
      </c>
    </row>
    <row r="33">
      <c r="A33" t="inlineStr">
        <is>
          <t>Scenario total using the illustrative calculated interest above (changes if you edit the rate or days)</t>
        </is>
      </c>
      <c r="B33">
        <f>B12+B26</f>
        <v/>
      </c>
    </row>
  </sheetData>
  <mergeCells count="3">
    <mergeCell ref="A2:E2"/>
    <mergeCell ref="A28:E28"/>
    <mergeCell ref="A20:E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>
      <c r="A1" s="1" t="inlineStr">
        <is>
          <t>Stanmere Capital Partners I, L.P. -- Close 3 / Final (30 Jun 2020)</t>
        </is>
      </c>
    </row>
    <row r="2" ht="45" customHeight="1">
      <c r="A2" s="4" t="inlineStr">
        <is>
          <t>Real Stanmere figures for the fund's final closing. Capital called to date is the cumulative total across all five partners from Q1 2019 through Q1 2020. The true-up contribution matches to the cent: the formula in Step 2 produces $21,980,000.00, and adding the recorded interest below reproduces the case's total equalization entry of $23,222,107.62. Step 3's per-partner refunds also tie exactly to all seven partners' figures on the Allocations tab.</t>
        </is>
      </c>
    </row>
    <row r="4">
      <c r="A4" s="2" t="inlineStr">
        <is>
          <t>Step 1 -- Inputs</t>
        </is>
      </c>
    </row>
    <row r="5">
      <c r="A5" t="inlineStr">
        <is>
          <t>Capital called to date (before this close)</t>
        </is>
      </c>
      <c r="B5" s="5" t="n">
        <v>78500000.01000001</v>
      </c>
    </row>
    <row r="6">
      <c r="A6" t="inlineStr">
        <is>
          <t>New commitments admitted at this close</t>
        </is>
      </c>
      <c r="B6" s="5" t="n">
        <v>70000000</v>
      </c>
    </row>
    <row r="7">
      <c r="A7" t="inlineStr">
        <is>
          <t>Total commitments after this close</t>
        </is>
      </c>
      <c r="B7" s="5" t="n">
        <v>250000000</v>
      </c>
    </row>
    <row r="8">
      <c r="A8" t="inlineStr">
        <is>
          <t>Equalization interest rate (simple, annualized)</t>
        </is>
      </c>
      <c r="B8" s="6" t="n">
        <v>0.08</v>
      </c>
    </row>
    <row r="10">
      <c r="A10" s="2" t="inlineStr">
        <is>
          <t>Step 2 -- True-up contribution (the formula)</t>
        </is>
      </c>
    </row>
    <row r="11">
      <c r="A11" t="inlineStr">
        <is>
          <t>New partners' share of total commitments</t>
        </is>
      </c>
      <c r="B11" s="7">
        <f>B6/B7</f>
        <v/>
      </c>
    </row>
    <row r="12">
      <c r="A12" t="inlineStr">
        <is>
          <t>True-up contribution = called-to-date x new share</t>
        </is>
      </c>
      <c r="B12" s="8">
        <f>B5*B11</f>
        <v/>
      </c>
    </row>
    <row r="15">
      <c r="A15" s="2" t="inlineStr">
        <is>
          <t>Step 3 -- Refund to the partners who funded the calls alone</t>
        </is>
      </c>
      <c r="B15" s="2" t="inlineStr">
        <is>
          <t>Original commitment</t>
        </is>
      </c>
      <c r="C15" s="2" t="inlineStr">
        <is>
          <t>Share of old base</t>
        </is>
      </c>
      <c r="D15" s="2" t="inlineStr">
        <is>
          <t>Refund received</t>
        </is>
      </c>
    </row>
    <row r="16">
      <c r="A16" t="inlineStr">
        <is>
          <t>Stanmere Capital GP I, LLC</t>
        </is>
      </c>
      <c r="B16" s="5" t="n">
        <v>5000000</v>
      </c>
      <c r="C16" s="7">
        <f>B16/SUM(B16:B20)</f>
        <v/>
      </c>
      <c r="D16" s="8">
        <f>$B$12*C16</f>
        <v/>
      </c>
    </row>
    <row r="17">
      <c r="A17" t="inlineStr">
        <is>
          <t>Kelbrook State Retirement System</t>
        </is>
      </c>
      <c r="B17" s="5" t="n">
        <v>75000000</v>
      </c>
      <c r="C17" s="7">
        <f>B17/SUM(B16:B20)</f>
        <v/>
      </c>
      <c r="D17" s="8">
        <f>$B$12*C17</f>
        <v/>
      </c>
    </row>
    <row r="18">
      <c r="A18" t="inlineStr">
        <is>
          <t>Ashfield University Endowment</t>
        </is>
      </c>
      <c r="B18" s="5" t="n">
        <v>40000000</v>
      </c>
      <c r="C18" s="7">
        <f>B18/SUM(B16:B20)</f>
        <v/>
      </c>
      <c r="D18" s="8">
        <f>$B$12*C18</f>
        <v/>
      </c>
    </row>
    <row r="19">
      <c r="A19" t="inlineStr">
        <is>
          <t>Pellham Mutual Insurance Company</t>
        </is>
      </c>
      <c r="B19" s="5" t="n">
        <v>35000000</v>
      </c>
      <c r="C19" s="7">
        <f>B19/SUM(B16:B20)</f>
        <v/>
      </c>
      <c r="D19" s="8">
        <f>$B$12*C19</f>
        <v/>
      </c>
    </row>
    <row r="20">
      <c r="A20" t="inlineStr">
        <is>
          <t>Lanternwood Partners, L.P.</t>
        </is>
      </c>
      <c r="B20" s="5" t="n">
        <v>25000000</v>
      </c>
      <c r="C20" s="7">
        <f>B20/SUM(B16:B20)</f>
        <v/>
      </c>
      <c r="D20" s="8">
        <f>$B$12*C20</f>
        <v/>
      </c>
    </row>
    <row r="21">
      <c r="A21" s="2" t="inlineStr">
        <is>
          <t>Total</t>
        </is>
      </c>
      <c r="D21" s="9">
        <f>SUM(D16:D20)</f>
        <v/>
      </c>
    </row>
    <row r="22">
      <c r="A22" s="3" t="inlineStr">
        <is>
          <t>Independent recomputation: total refund above must equal the Step 2 true-up contribution.</t>
        </is>
      </c>
    </row>
    <row r="23">
      <c r="A23" t="inlineStr">
        <is>
          <t>Difference (should be 0.00)</t>
        </is>
      </c>
      <c r="D23" s="8">
        <f>D21-B12</f>
        <v/>
      </c>
    </row>
    <row r="25">
      <c r="A25" s="2" t="inlineStr">
        <is>
          <t>Step 4 -- Equalization interest</t>
        </is>
      </c>
    </row>
    <row r="26">
      <c r="A26" s="3" t="inlineStr">
        <is>
          <t>Simplified single-period interest = true-up x rate x (days/365)</t>
        </is>
      </c>
    </row>
    <row r="27">
      <c r="A27" t="inlineStr">
        <is>
          <t>Illustrative days outstanding (edit to test)</t>
        </is>
      </c>
      <c r="B27" s="10" t="n">
        <v>90</v>
      </c>
    </row>
    <row r="28">
      <c r="A28" t="inlineStr">
        <is>
          <t>Illustrative simplified interest (NOT Stanmere's actual figure)</t>
        </is>
      </c>
      <c r="B28" s="8">
        <f>B12*B8*B27/365</f>
        <v/>
      </c>
    </row>
    <row r="29">
      <c r="A29" t="inlineStr">
        <is>
          <t>Actual equalization interest recorded for this close (from the case workbook)</t>
        </is>
      </c>
      <c r="B29" s="11" t="n">
        <v>1242107.62</v>
      </c>
    </row>
    <row r="30" ht="60" customHeight="1">
      <c r="A30" s="4" t="inlineStr">
        <is>
          <t>Source: case workbook Investor Allocations tab, row 22. As with Close 2, this is a memo line, not a capital-account posting, and the simplified formula above will not exactly reproduce it.</t>
        </is>
      </c>
    </row>
    <row r="32">
      <c r="A32" s="2" t="inlineStr">
        <is>
          <t>Step 5 -- Total cash-neutral fund-level entry</t>
        </is>
      </c>
    </row>
    <row r="33">
      <c r="A33" t="inlineStr">
        <is>
          <t>True-up contribution + actual recorded interest (Stanmere's historical total; fixed, and does not change if you edit the rate above -- see the scenario row below)</t>
        </is>
      </c>
      <c r="B33" s="8">
        <f>B12+B29</f>
        <v/>
      </c>
    </row>
    <row r="35">
      <c r="A35" t="inlineStr">
        <is>
          <t>Scenario total using the illustrative calculated interest above (changes if you edit the rate or days)</t>
        </is>
      </c>
      <c r="B35">
        <f>B12+B28</f>
        <v/>
      </c>
    </row>
  </sheetData>
  <mergeCells count="3">
    <mergeCell ref="A2:E2"/>
    <mergeCell ref="A22:E22"/>
    <mergeCell ref="A30:E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>
      <c r="A1" s="1" t="inlineStr">
        <is>
          <t>Your Own Numbers -- Blank Template</t>
        </is>
      </c>
    </row>
    <row r="2" ht="45" customHeight="1">
      <c r="A2" s="4" t="inlineStr">
        <is>
          <t>Same formulas as the Stanmere tabs, pre-loaded with placeholder round numbers only so no cell shows a divide-by-zero error. Replace every blue cell with your own fund's facts to test a different commitment mix, a different rate, or a different number of prior partners.</t>
        </is>
      </c>
    </row>
    <row r="4">
      <c r="A4" s="2" t="inlineStr">
        <is>
          <t>Step 1 -- Inputs</t>
        </is>
      </c>
    </row>
    <row r="5">
      <c r="A5" t="inlineStr">
        <is>
          <t>Capital called to date (before this close)</t>
        </is>
      </c>
      <c r="B5" s="5" t="n">
        <v>100</v>
      </c>
    </row>
    <row r="6">
      <c r="A6" t="inlineStr">
        <is>
          <t>New commitments admitted at this close</t>
        </is>
      </c>
      <c r="B6" s="5" t="n">
        <v>100</v>
      </c>
    </row>
    <row r="7">
      <c r="A7" t="inlineStr">
        <is>
          <t>Total commitments after this close</t>
        </is>
      </c>
      <c r="B7" s="5" t="n">
        <v>300</v>
      </c>
    </row>
    <row r="8">
      <c r="A8" t="inlineStr">
        <is>
          <t>Equalization interest rate (simple, annualized)</t>
        </is>
      </c>
      <c r="B8" s="6" t="n">
        <v>0.08</v>
      </c>
    </row>
    <row r="10">
      <c r="A10" s="2" t="inlineStr">
        <is>
          <t>Step 2 -- True-up contribution (the formula)</t>
        </is>
      </c>
    </row>
    <row r="11">
      <c r="A11" t="inlineStr">
        <is>
          <t>New partners' share of total commitments</t>
        </is>
      </c>
      <c r="B11" s="7">
        <f>B6/B7</f>
        <v/>
      </c>
    </row>
    <row r="12">
      <c r="A12" t="inlineStr">
        <is>
          <t>True-up contribution = called-to-date x new share</t>
        </is>
      </c>
      <c r="B12" s="8">
        <f>B5*B11</f>
        <v/>
      </c>
    </row>
    <row r="15">
      <c r="A15" s="2" t="inlineStr">
        <is>
          <t>Step 3 -- Refund to the partners who funded the calls alone</t>
        </is>
      </c>
      <c r="B15" s="2" t="inlineStr">
        <is>
          <t>Original commitment</t>
        </is>
      </c>
      <c r="C15" s="2" t="inlineStr">
        <is>
          <t>Share of old base</t>
        </is>
      </c>
      <c r="D15" s="2" t="inlineStr">
        <is>
          <t>Refund received</t>
        </is>
      </c>
    </row>
    <row r="16">
      <c r="A16" t="inlineStr">
        <is>
          <t>Partner 1</t>
        </is>
      </c>
      <c r="B16" s="5" t="n">
        <v>100</v>
      </c>
      <c r="C16" s="7">
        <f>B16/SUM(B16:B17)</f>
        <v/>
      </c>
      <c r="D16" s="8">
        <f>$B$12*C16</f>
        <v/>
      </c>
    </row>
    <row r="17">
      <c r="A17" t="inlineStr">
        <is>
          <t>Partner 2</t>
        </is>
      </c>
      <c r="B17" s="5" t="n">
        <v>100</v>
      </c>
      <c r="C17" s="7">
        <f>B17/SUM(B16:B17)</f>
        <v/>
      </c>
      <c r="D17" s="8">
        <f>$B$12*C17</f>
        <v/>
      </c>
    </row>
    <row r="18">
      <c r="A18" s="2" t="inlineStr">
        <is>
          <t>Total</t>
        </is>
      </c>
      <c r="D18" s="9">
        <f>SUM(D16:D17)</f>
        <v/>
      </c>
    </row>
    <row r="19">
      <c r="A19" s="3" t="inlineStr">
        <is>
          <t>Independent recomputation: total refund above must equal the Step 2 true-up contribution.</t>
        </is>
      </c>
    </row>
    <row r="20">
      <c r="A20" t="inlineStr">
        <is>
          <t>Difference (should be 0.00)</t>
        </is>
      </c>
      <c r="D20" s="8">
        <f>D18-B12</f>
        <v/>
      </c>
    </row>
    <row r="22">
      <c r="A22" s="2" t="inlineStr">
        <is>
          <t>Step 4 -- Equalization interest</t>
        </is>
      </c>
    </row>
    <row r="23">
      <c r="A23" s="3" t="inlineStr">
        <is>
          <t>Simplified single-period interest = true-up x rate x (days/365)</t>
        </is>
      </c>
    </row>
    <row r="24">
      <c r="A24" t="inlineStr">
        <is>
          <t>Illustrative days outstanding (edit to test)</t>
        </is>
      </c>
      <c r="B24" s="10" t="n">
        <v>90</v>
      </c>
    </row>
    <row r="25">
      <c r="A25" t="inlineStr">
        <is>
          <t>Illustrative simplified interest (NOT Stanmere's actual figure)</t>
        </is>
      </c>
      <c r="B25" s="8">
        <f>B12*B8*B24/365</f>
        <v/>
      </c>
    </row>
    <row r="26">
      <c r="A26" t="inlineStr">
        <is>
          <t>Actual equalization interest recorded for this close (Case Bible S4)</t>
        </is>
      </c>
      <c r="B26" s="8" t="n">
        <v>0</v>
      </c>
    </row>
    <row r="27" ht="60" customHeight="1">
      <c r="A27" s="4" t="inlineStr">
        <is>
          <t>Enter the interest your own fund's LPA actually calculates or recorded here for comparison against the simplified formula above.</t>
        </is>
      </c>
    </row>
    <row r="29">
      <c r="A29" s="2" t="inlineStr">
        <is>
          <t>Step 5 -- Total cash-neutral fund-level entry</t>
        </is>
      </c>
    </row>
    <row r="30">
      <c r="A30" t="inlineStr">
        <is>
          <t>True-up contribution + actual recorded interest</t>
        </is>
      </c>
      <c r="B30" s="8">
        <f>B12+B26</f>
        <v/>
      </c>
    </row>
  </sheetData>
  <mergeCells count="3">
    <mergeCell ref="A2:E2"/>
    <mergeCell ref="A27:E27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2026-09-20T01:02:56Z</dcterms:created>
  <dcterms:modified xsi:type="dcterms:W3CDTF">2026-09-28T02:00:32Z</dcterms:modified>
</cp:coreProperties>
</file>