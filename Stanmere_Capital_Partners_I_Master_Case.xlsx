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808788DD-1E2A-42F0-9DAB-0C301DE1EBAD}" xr6:coauthVersionLast="47" xr6:coauthVersionMax="47" xr10:uidLastSave="{00000000-0000-0000-0000-000000000000}"/>
  <bookViews>
    <workbookView xWindow="28680" yWindow="-120" windowWidth="29040" windowHeight="15720" xr2:uid="{00000000-000D-0000-FFFF-FFFF00000000}"/>
  </bookViews>
  <sheets>
    <sheet name="TOC" sheetId="1" r:id="rId1"/>
    <sheet name="FS Cover" sheetId="2" r:id="rId2"/>
    <sheet name="Fund Terms" sheetId="3" r:id="rId3"/>
    <sheet name="Partners" sheetId="4" r:id="rId4"/>
    <sheet name="Chart of Accounts" sheetId="5" r:id="rId5"/>
    <sheet name="Journal Entries" sheetId="6" r:id="rId6"/>
    <sheet name="Trial Balance" sheetId="7" r:id="rId7"/>
    <sheet name="Balance Sheet" sheetId="8" r:id="rId8"/>
    <sheet name="Income Statement" sheetId="9" r:id="rId9"/>
    <sheet name="Changes in Partners Capital" sheetId="10" r:id="rId10"/>
    <sheet name="Cash Flow Statement" sheetId="11" r:id="rId11"/>
    <sheet name="Financial Highlights" sheetId="12" r:id="rId12"/>
    <sheet name="Schedule of Investments" sheetId="13" r:id="rId13"/>
    <sheet name="Allocations" sheetId="14" r:id="rId14"/>
    <sheet name="Investor Allocations" sheetId="15" r:id="rId15"/>
    <sheet name="Investor Capital Accounts" sheetId="16" r:id="rId16"/>
    <sheet name="Management Fee" sheetId="17" r:id="rId17"/>
    <sheet name="Waterfall" sheetId="18" r:id="rId18"/>
    <sheet name="Performance" sheetId="19" r:id="rId19"/>
    <sheet name="Bank Reconciliation" sheetId="20" r:id="rId20"/>
    <sheet name="Glossary" sheetId="21" r:id="rId21"/>
    <sheet name="Tie-Out Checks"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3" l="1"/>
  <c r="C25" i="23"/>
  <c r="C24" i="23"/>
  <c r="B23" i="23"/>
  <c r="C22" i="23"/>
  <c r="B22" i="23"/>
  <c r="D22" i="23" s="1"/>
  <c r="E22" i="23" s="1"/>
  <c r="C21" i="23"/>
  <c r="B21" i="23"/>
  <c r="D21" i="23" s="1"/>
  <c r="E21" i="23" s="1"/>
  <c r="B20" i="23"/>
  <c r="B19" i="23"/>
  <c r="B18" i="23"/>
  <c r="C17" i="23"/>
  <c r="C16" i="23"/>
  <c r="C8" i="23"/>
  <c r="C5" i="23"/>
  <c r="C50" i="20"/>
  <c r="B50" i="20"/>
  <c r="C49" i="20"/>
  <c r="B49" i="20"/>
  <c r="C48" i="20"/>
  <c r="B48" i="20"/>
  <c r="C47" i="20"/>
  <c r="B47" i="20"/>
  <c r="C46" i="20"/>
  <c r="B46" i="20"/>
  <c r="C45" i="20"/>
  <c r="B45" i="20"/>
  <c r="C44" i="20"/>
  <c r="B44" i="20"/>
  <c r="C43" i="20"/>
  <c r="B43" i="20"/>
  <c r="C42" i="20"/>
  <c r="B42" i="20"/>
  <c r="C41" i="20"/>
  <c r="B41" i="20"/>
  <c r="C40" i="20"/>
  <c r="B40" i="20"/>
  <c r="C39" i="20"/>
  <c r="B39" i="20"/>
  <c r="C38" i="20"/>
  <c r="B38" i="20"/>
  <c r="C37" i="20"/>
  <c r="B37" i="20"/>
  <c r="C36" i="20"/>
  <c r="B36" i="20"/>
  <c r="C35" i="20"/>
  <c r="B35" i="20"/>
  <c r="C34" i="20"/>
  <c r="B34" i="20"/>
  <c r="C33" i="20"/>
  <c r="B33" i="20"/>
  <c r="C32" i="20"/>
  <c r="B32" i="20"/>
  <c r="C31" i="20"/>
  <c r="B31" i="20"/>
  <c r="C30" i="20"/>
  <c r="B30" i="20"/>
  <c r="C29" i="20"/>
  <c r="B29" i="20"/>
  <c r="C28" i="20"/>
  <c r="B28" i="20"/>
  <c r="C27" i="20"/>
  <c r="B27" i="20"/>
  <c r="C26" i="20"/>
  <c r="B26" i="20"/>
  <c r="C25" i="20"/>
  <c r="B25" i="20"/>
  <c r="C24" i="20"/>
  <c r="B24" i="20"/>
  <c r="C23" i="20"/>
  <c r="B23" i="20"/>
  <c r="C22" i="20"/>
  <c r="B22" i="20"/>
  <c r="C21" i="20"/>
  <c r="B21" i="20"/>
  <c r="C20" i="20"/>
  <c r="B20" i="20"/>
  <c r="C19" i="20"/>
  <c r="B19" i="20"/>
  <c r="C18" i="20"/>
  <c r="B18" i="20"/>
  <c r="C17" i="20"/>
  <c r="B17" i="20"/>
  <c r="C16" i="20"/>
  <c r="B16" i="20"/>
  <c r="C15" i="20"/>
  <c r="B15" i="20"/>
  <c r="C14" i="20"/>
  <c r="B14" i="20"/>
  <c r="C13" i="20"/>
  <c r="B13" i="20"/>
  <c r="C12" i="20"/>
  <c r="B12" i="20"/>
  <c r="C11" i="20"/>
  <c r="B11" i="20"/>
  <c r="C10" i="20"/>
  <c r="B10" i="20"/>
  <c r="C9" i="20"/>
  <c r="B9" i="20"/>
  <c r="C8" i="20"/>
  <c r="B8" i="20"/>
  <c r="C7" i="20"/>
  <c r="B7" i="20"/>
  <c r="C6" i="20"/>
  <c r="B6" i="20"/>
  <c r="C5" i="20"/>
  <c r="B5" i="20"/>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G13" i="19"/>
  <c r="D13" i="19"/>
  <c r="D12" i="19"/>
  <c r="D11" i="19"/>
  <c r="D10" i="19"/>
  <c r="D9" i="19"/>
  <c r="D8" i="19"/>
  <c r="D7" i="19"/>
  <c r="G6" i="19"/>
  <c r="D6" i="19"/>
  <c r="G5" i="19"/>
  <c r="D5" i="19"/>
  <c r="C51" i="18"/>
  <c r="C12" i="23" s="1"/>
  <c r="B51" i="18"/>
  <c r="B13" i="23" s="1"/>
  <c r="G5" i="18"/>
  <c r="E3" i="18"/>
  <c r="E5" i="18" s="1"/>
  <c r="F5" i="18" s="1"/>
  <c r="F51" i="17"/>
  <c r="D50" i="17"/>
  <c r="E50" i="17" s="1"/>
  <c r="G50" i="17" s="1"/>
  <c r="D49" i="17"/>
  <c r="E49" i="17" s="1"/>
  <c r="G49" i="17" s="1"/>
  <c r="D48" i="17"/>
  <c r="E48" i="17" s="1"/>
  <c r="G48" i="17" s="1"/>
  <c r="D47" i="17"/>
  <c r="E47" i="17" s="1"/>
  <c r="G47" i="17" s="1"/>
  <c r="D46" i="17"/>
  <c r="E46" i="17" s="1"/>
  <c r="G46" i="17" s="1"/>
  <c r="D45" i="17"/>
  <c r="E45" i="17" s="1"/>
  <c r="G45" i="17" s="1"/>
  <c r="D44" i="17"/>
  <c r="E44" i="17" s="1"/>
  <c r="G44" i="17" s="1"/>
  <c r="D43" i="17"/>
  <c r="E43" i="17" s="1"/>
  <c r="G43" i="17" s="1"/>
  <c r="D42" i="17"/>
  <c r="E42" i="17" s="1"/>
  <c r="G42" i="17" s="1"/>
  <c r="D41" i="17"/>
  <c r="E41" i="17" s="1"/>
  <c r="G41" i="17" s="1"/>
  <c r="D40" i="17"/>
  <c r="E40" i="17" s="1"/>
  <c r="G40" i="17" s="1"/>
  <c r="D39" i="17"/>
  <c r="E39" i="17" s="1"/>
  <c r="G39" i="17" s="1"/>
  <c r="D38" i="17"/>
  <c r="E38" i="17" s="1"/>
  <c r="G38" i="17" s="1"/>
  <c r="D37" i="17"/>
  <c r="E37" i="17" s="1"/>
  <c r="G37" i="17" s="1"/>
  <c r="D36" i="17"/>
  <c r="E36" i="17" s="1"/>
  <c r="G36" i="17" s="1"/>
  <c r="D35" i="17"/>
  <c r="E35" i="17" s="1"/>
  <c r="G35" i="17" s="1"/>
  <c r="D34" i="17"/>
  <c r="E34" i="17" s="1"/>
  <c r="G34" i="17" s="1"/>
  <c r="D33" i="17"/>
  <c r="E33" i="17" s="1"/>
  <c r="G33" i="17" s="1"/>
  <c r="D32" i="17"/>
  <c r="E32" i="17" s="1"/>
  <c r="G32" i="17" s="1"/>
  <c r="D31" i="17"/>
  <c r="E31" i="17" s="1"/>
  <c r="G31" i="17" s="1"/>
  <c r="D30" i="17"/>
  <c r="E30" i="17" s="1"/>
  <c r="G30" i="17" s="1"/>
  <c r="D29" i="17"/>
  <c r="E29" i="17" s="1"/>
  <c r="G29" i="17" s="1"/>
  <c r="D28" i="17"/>
  <c r="E28" i="17" s="1"/>
  <c r="G28" i="17" s="1"/>
  <c r="D27" i="17"/>
  <c r="E27" i="17" s="1"/>
  <c r="G27" i="17" s="1"/>
  <c r="D26" i="17"/>
  <c r="E26" i="17" s="1"/>
  <c r="G26" i="17" s="1"/>
  <c r="D25" i="17"/>
  <c r="E25" i="17" s="1"/>
  <c r="G25" i="17" s="1"/>
  <c r="D24" i="17"/>
  <c r="E24" i="17" s="1"/>
  <c r="G24" i="17" s="1"/>
  <c r="D23" i="17"/>
  <c r="E23" i="17" s="1"/>
  <c r="G23" i="17" s="1"/>
  <c r="D22" i="17"/>
  <c r="E22" i="17" s="1"/>
  <c r="G22" i="17" s="1"/>
  <c r="D21" i="17"/>
  <c r="E21" i="17" s="1"/>
  <c r="G21" i="17" s="1"/>
  <c r="D20" i="17"/>
  <c r="E20" i="17" s="1"/>
  <c r="G20" i="17" s="1"/>
  <c r="D19" i="17"/>
  <c r="E19" i="17" s="1"/>
  <c r="G19" i="17" s="1"/>
  <c r="E18" i="17"/>
  <c r="G18" i="17" s="1"/>
  <c r="D18" i="17"/>
  <c r="E17" i="17"/>
  <c r="G17" i="17" s="1"/>
  <c r="D17" i="17"/>
  <c r="D16" i="17"/>
  <c r="E16" i="17" s="1"/>
  <c r="G16" i="17" s="1"/>
  <c r="D15" i="17"/>
  <c r="E15" i="17" s="1"/>
  <c r="G15" i="17" s="1"/>
  <c r="D14" i="17"/>
  <c r="E14" i="17" s="1"/>
  <c r="G14" i="17" s="1"/>
  <c r="D13" i="17"/>
  <c r="E13" i="17" s="1"/>
  <c r="G13" i="17" s="1"/>
  <c r="D12" i="17"/>
  <c r="E12" i="17" s="1"/>
  <c r="G12" i="17" s="1"/>
  <c r="D11" i="17"/>
  <c r="E11" i="17" s="1"/>
  <c r="G11" i="17" s="1"/>
  <c r="D10" i="17"/>
  <c r="E10" i="17" s="1"/>
  <c r="G10" i="17" s="1"/>
  <c r="D9" i="17"/>
  <c r="E9" i="17" s="1"/>
  <c r="G9" i="17" s="1"/>
  <c r="D8" i="17"/>
  <c r="E8" i="17" s="1"/>
  <c r="G8" i="17" s="1"/>
  <c r="D7" i="17"/>
  <c r="E7" i="17" s="1"/>
  <c r="G7" i="17" s="1"/>
  <c r="D6" i="17"/>
  <c r="E6" i="17" s="1"/>
  <c r="G6" i="17" s="1"/>
  <c r="D5" i="17"/>
  <c r="E5" i="17" s="1"/>
  <c r="B22" i="16"/>
  <c r="B19" i="16"/>
  <c r="B18" i="16"/>
  <c r="B17" i="16"/>
  <c r="B16" i="16"/>
  <c r="B15" i="16"/>
  <c r="B14" i="16"/>
  <c r="B13" i="16"/>
  <c r="B12" i="16"/>
  <c r="B11" i="16"/>
  <c r="B10" i="16"/>
  <c r="J22" i="15"/>
  <c r="I18" i="15"/>
  <c r="H18" i="15"/>
  <c r="G18" i="15"/>
  <c r="F18" i="15"/>
  <c r="E18" i="15"/>
  <c r="D18" i="15"/>
  <c r="C18" i="15"/>
  <c r="B18" i="15"/>
  <c r="I17" i="15"/>
  <c r="H17" i="15"/>
  <c r="G17" i="15"/>
  <c r="F17" i="15"/>
  <c r="E17" i="15"/>
  <c r="D17" i="15"/>
  <c r="C17" i="15"/>
  <c r="B17" i="15"/>
  <c r="I16" i="15"/>
  <c r="H16" i="15"/>
  <c r="G16" i="15"/>
  <c r="F16" i="15"/>
  <c r="E16" i="15"/>
  <c r="D16" i="15"/>
  <c r="C16" i="15"/>
  <c r="B16" i="15"/>
  <c r="I15" i="15"/>
  <c r="H15" i="15"/>
  <c r="G15" i="15"/>
  <c r="F15" i="15"/>
  <c r="E15" i="15"/>
  <c r="D15" i="15"/>
  <c r="C15" i="15"/>
  <c r="B15" i="15"/>
  <c r="I14" i="15"/>
  <c r="H14" i="15"/>
  <c r="G14" i="15"/>
  <c r="F14" i="15"/>
  <c r="E14" i="15"/>
  <c r="D14" i="15"/>
  <c r="C14" i="15"/>
  <c r="B14" i="15"/>
  <c r="I13" i="15"/>
  <c r="H13" i="15"/>
  <c r="G13" i="15"/>
  <c r="F13" i="15"/>
  <c r="E13" i="15"/>
  <c r="D13" i="15"/>
  <c r="C13" i="15"/>
  <c r="B13" i="15"/>
  <c r="I12" i="15"/>
  <c r="H12" i="15"/>
  <c r="G12" i="15"/>
  <c r="F12" i="15"/>
  <c r="E12" i="15"/>
  <c r="D12" i="15"/>
  <c r="C12" i="15"/>
  <c r="B12" i="15"/>
  <c r="I11" i="15"/>
  <c r="H11" i="15"/>
  <c r="G11" i="15"/>
  <c r="F11" i="15"/>
  <c r="E11" i="15"/>
  <c r="D11" i="15"/>
  <c r="C11" i="15"/>
  <c r="B11" i="15"/>
  <c r="I10" i="15"/>
  <c r="H10" i="15"/>
  <c r="G10" i="15"/>
  <c r="F10" i="15"/>
  <c r="E10" i="15"/>
  <c r="D10" i="15"/>
  <c r="C10" i="15"/>
  <c r="B10" i="15"/>
  <c r="I9" i="15"/>
  <c r="I21" i="15" s="1"/>
  <c r="H9" i="15"/>
  <c r="G9" i="15"/>
  <c r="F9" i="15"/>
  <c r="E9" i="15"/>
  <c r="D9" i="15"/>
  <c r="C9" i="15"/>
  <c r="B9" i="15"/>
  <c r="H6" i="15"/>
  <c r="G6" i="15"/>
  <c r="F6" i="15"/>
  <c r="E6" i="15"/>
  <c r="D6" i="15"/>
  <c r="C6" i="15"/>
  <c r="B6" i="15"/>
  <c r="F9" i="13"/>
  <c r="B14" i="23" s="1"/>
  <c r="E9" i="13"/>
  <c r="G8" i="13"/>
  <c r="G7" i="13"/>
  <c r="G6" i="13"/>
  <c r="G5" i="13"/>
  <c r="M74" i="12"/>
  <c r="M73" i="12"/>
  <c r="M72" i="12"/>
  <c r="L72" i="12"/>
  <c r="M71" i="12"/>
  <c r="L71" i="12"/>
  <c r="M70" i="12"/>
  <c r="L70" i="12"/>
  <c r="M69" i="12"/>
  <c r="L69" i="12"/>
  <c r="M68" i="12"/>
  <c r="L68" i="12"/>
  <c r="K68" i="12"/>
  <c r="M67" i="12"/>
  <c r="L67" i="12"/>
  <c r="K67" i="12"/>
  <c r="M66" i="12"/>
  <c r="L66" i="12"/>
  <c r="K66" i="12"/>
  <c r="M65" i="12"/>
  <c r="L65" i="12"/>
  <c r="K65" i="12"/>
  <c r="M64" i="12"/>
  <c r="L64" i="12"/>
  <c r="K64" i="12"/>
  <c r="J64" i="12"/>
  <c r="M63" i="12"/>
  <c r="L63" i="12"/>
  <c r="K63" i="12"/>
  <c r="J63" i="12"/>
  <c r="M62" i="12"/>
  <c r="L62" i="12"/>
  <c r="K62" i="12"/>
  <c r="J62" i="12"/>
  <c r="M61" i="12"/>
  <c r="L61" i="12"/>
  <c r="K61" i="12"/>
  <c r="J61" i="12"/>
  <c r="M60" i="12"/>
  <c r="L60" i="12"/>
  <c r="K60" i="12"/>
  <c r="J60" i="12"/>
  <c r="I60" i="12"/>
  <c r="M59" i="12"/>
  <c r="L59" i="12"/>
  <c r="K59" i="12"/>
  <c r="J59" i="12"/>
  <c r="I59" i="12"/>
  <c r="M58" i="12"/>
  <c r="L58" i="12"/>
  <c r="K58" i="12"/>
  <c r="J58" i="12"/>
  <c r="I58" i="12"/>
  <c r="M57" i="12"/>
  <c r="L57" i="12"/>
  <c r="K57" i="12"/>
  <c r="J57" i="12"/>
  <c r="I57" i="12"/>
  <c r="M56" i="12"/>
  <c r="L56" i="12"/>
  <c r="K56" i="12"/>
  <c r="J56" i="12"/>
  <c r="I56" i="12"/>
  <c r="H56" i="12"/>
  <c r="M55" i="12"/>
  <c r="L55" i="12"/>
  <c r="K55" i="12"/>
  <c r="J55" i="12"/>
  <c r="I55" i="12"/>
  <c r="H55" i="12"/>
  <c r="M54" i="12"/>
  <c r="L54" i="12"/>
  <c r="K54" i="12"/>
  <c r="J54" i="12"/>
  <c r="I54" i="12"/>
  <c r="H54" i="12"/>
  <c r="M53" i="12"/>
  <c r="L53" i="12"/>
  <c r="K53" i="12"/>
  <c r="J53" i="12"/>
  <c r="I53" i="12"/>
  <c r="H53" i="12"/>
  <c r="M52" i="12"/>
  <c r="L52" i="12"/>
  <c r="K52" i="12"/>
  <c r="J52" i="12"/>
  <c r="I52" i="12"/>
  <c r="H52" i="12"/>
  <c r="G52" i="12"/>
  <c r="M51" i="12"/>
  <c r="L51" i="12"/>
  <c r="K51" i="12"/>
  <c r="J51" i="12"/>
  <c r="I51" i="12"/>
  <c r="H51" i="12"/>
  <c r="G51" i="12"/>
  <c r="M50" i="12"/>
  <c r="L50" i="12"/>
  <c r="K50" i="12"/>
  <c r="J50" i="12"/>
  <c r="I50" i="12"/>
  <c r="H50" i="12"/>
  <c r="G50" i="12"/>
  <c r="M49" i="12"/>
  <c r="L49" i="12"/>
  <c r="K49" i="12"/>
  <c r="J49" i="12"/>
  <c r="I49" i="12"/>
  <c r="H49" i="12"/>
  <c r="G49" i="12"/>
  <c r="M48" i="12"/>
  <c r="L48" i="12"/>
  <c r="K48" i="12"/>
  <c r="J48" i="12"/>
  <c r="I48" i="12"/>
  <c r="H48" i="12"/>
  <c r="G48" i="12"/>
  <c r="F48" i="12"/>
  <c r="M47" i="12"/>
  <c r="L47" i="12"/>
  <c r="K47" i="12"/>
  <c r="J47" i="12"/>
  <c r="I47" i="12"/>
  <c r="H47" i="12"/>
  <c r="G47" i="12"/>
  <c r="F47" i="12"/>
  <c r="M46" i="12"/>
  <c r="L46" i="12"/>
  <c r="K46" i="12"/>
  <c r="J46" i="12"/>
  <c r="I46" i="12"/>
  <c r="H46" i="12"/>
  <c r="G46" i="12"/>
  <c r="F46" i="12"/>
  <c r="M45" i="12"/>
  <c r="L45" i="12"/>
  <c r="K45" i="12"/>
  <c r="J45" i="12"/>
  <c r="I45" i="12"/>
  <c r="H45" i="12"/>
  <c r="G45" i="12"/>
  <c r="F45" i="12"/>
  <c r="M44" i="12"/>
  <c r="L44" i="12"/>
  <c r="K44" i="12"/>
  <c r="J44" i="12"/>
  <c r="I44" i="12"/>
  <c r="H44" i="12"/>
  <c r="G44" i="12"/>
  <c r="F44" i="12"/>
  <c r="E44" i="12"/>
  <c r="M43" i="12"/>
  <c r="L43" i="12"/>
  <c r="K43" i="12"/>
  <c r="J43" i="12"/>
  <c r="I43" i="12"/>
  <c r="H43" i="12"/>
  <c r="G43" i="12"/>
  <c r="F43" i="12"/>
  <c r="E43" i="12"/>
  <c r="M42" i="12"/>
  <c r="L42" i="12"/>
  <c r="K42" i="12"/>
  <c r="J42" i="12"/>
  <c r="I42" i="12"/>
  <c r="H42" i="12"/>
  <c r="G42" i="12"/>
  <c r="F42" i="12"/>
  <c r="E42" i="12"/>
  <c r="M41" i="12"/>
  <c r="L41" i="12"/>
  <c r="K41" i="12"/>
  <c r="J41" i="12"/>
  <c r="I41" i="12"/>
  <c r="H41" i="12"/>
  <c r="G41" i="12"/>
  <c r="F41" i="12"/>
  <c r="E41" i="12"/>
  <c r="M40" i="12"/>
  <c r="L40" i="12"/>
  <c r="K40" i="12"/>
  <c r="J40" i="12"/>
  <c r="I40" i="12"/>
  <c r="H40" i="12"/>
  <c r="G40" i="12"/>
  <c r="F40" i="12"/>
  <c r="E40" i="12"/>
  <c r="D40" i="12"/>
  <c r="M39" i="12"/>
  <c r="L39" i="12"/>
  <c r="K39" i="12"/>
  <c r="J39" i="12"/>
  <c r="I39" i="12"/>
  <c r="H39" i="12"/>
  <c r="G39" i="12"/>
  <c r="F39" i="12"/>
  <c r="E39" i="12"/>
  <c r="D39" i="12"/>
  <c r="M38" i="12"/>
  <c r="L38" i="12"/>
  <c r="K38" i="12"/>
  <c r="J38" i="12"/>
  <c r="I38" i="12"/>
  <c r="H38" i="12"/>
  <c r="G38" i="12"/>
  <c r="F38" i="12"/>
  <c r="E38" i="12"/>
  <c r="D38" i="12"/>
  <c r="M37" i="12"/>
  <c r="L37" i="12"/>
  <c r="K37" i="12"/>
  <c r="J37" i="12"/>
  <c r="I37" i="12"/>
  <c r="H37" i="12"/>
  <c r="G37" i="12"/>
  <c r="F37" i="12"/>
  <c r="E37" i="12"/>
  <c r="D37" i="12"/>
  <c r="M36" i="12"/>
  <c r="L36" i="12"/>
  <c r="K36" i="12"/>
  <c r="J36" i="12"/>
  <c r="I36" i="12"/>
  <c r="H36" i="12"/>
  <c r="G36" i="12"/>
  <c r="F36" i="12"/>
  <c r="E36" i="12"/>
  <c r="D36" i="12"/>
  <c r="C36" i="12"/>
  <c r="M35" i="12"/>
  <c r="L35" i="12"/>
  <c r="K35" i="12"/>
  <c r="J35" i="12"/>
  <c r="I35" i="12"/>
  <c r="H35" i="12"/>
  <c r="G35" i="12"/>
  <c r="F35" i="12"/>
  <c r="E35" i="12"/>
  <c r="D35" i="12"/>
  <c r="C35" i="12"/>
  <c r="M34" i="12"/>
  <c r="L34" i="12"/>
  <c r="K34" i="12"/>
  <c r="J34" i="12"/>
  <c r="I34" i="12"/>
  <c r="H34" i="12"/>
  <c r="G34" i="12"/>
  <c r="F34" i="12"/>
  <c r="E34" i="12"/>
  <c r="D34" i="12"/>
  <c r="C34" i="12"/>
  <c r="M33" i="12"/>
  <c r="L33" i="12"/>
  <c r="K33" i="12"/>
  <c r="J33" i="12"/>
  <c r="I33" i="12"/>
  <c r="H33" i="12"/>
  <c r="G33" i="12"/>
  <c r="F33" i="12"/>
  <c r="E33" i="12"/>
  <c r="D33" i="12"/>
  <c r="C33" i="12"/>
  <c r="M32" i="12"/>
  <c r="L32" i="12"/>
  <c r="K32" i="12"/>
  <c r="J32" i="12"/>
  <c r="I32" i="12"/>
  <c r="H32" i="12"/>
  <c r="G32" i="12"/>
  <c r="F32" i="12"/>
  <c r="E32" i="12"/>
  <c r="D32" i="12"/>
  <c r="C32" i="12"/>
  <c r="B32" i="12"/>
  <c r="M31" i="12"/>
  <c r="L31" i="12"/>
  <c r="K31" i="12"/>
  <c r="J31" i="12"/>
  <c r="I31" i="12"/>
  <c r="H31" i="12"/>
  <c r="G31" i="12"/>
  <c r="F31" i="12"/>
  <c r="E31" i="12"/>
  <c r="D31" i="12"/>
  <c r="C31" i="12"/>
  <c r="B31" i="12"/>
  <c r="M30" i="12"/>
  <c r="L30" i="12"/>
  <c r="K30" i="12"/>
  <c r="J30" i="12"/>
  <c r="I30" i="12"/>
  <c r="H30" i="12"/>
  <c r="G30" i="12"/>
  <c r="F30" i="12"/>
  <c r="E30" i="12"/>
  <c r="D30" i="12"/>
  <c r="C30" i="12"/>
  <c r="B30" i="12"/>
  <c r="M6" i="12"/>
  <c r="M75" i="12" s="1"/>
  <c r="L6" i="12"/>
  <c r="M5" i="12" s="1"/>
  <c r="K6" i="12"/>
  <c r="J6" i="12"/>
  <c r="J65" i="12" s="1"/>
  <c r="I6" i="12"/>
  <c r="I61" i="12" s="1"/>
  <c r="H6" i="12"/>
  <c r="G6" i="12"/>
  <c r="G53" i="12" s="1"/>
  <c r="F6" i="12"/>
  <c r="F49" i="12" s="1"/>
  <c r="E6" i="12"/>
  <c r="E45" i="12" s="1"/>
  <c r="D6" i="12"/>
  <c r="E5" i="12" s="1"/>
  <c r="C6" i="12"/>
  <c r="D5" i="12" s="1"/>
  <c r="B6" i="12"/>
  <c r="C5" i="12" s="1"/>
  <c r="M31" i="11"/>
  <c r="L31" i="11"/>
  <c r="K31" i="11"/>
  <c r="J31" i="11"/>
  <c r="I31" i="11"/>
  <c r="H31" i="11"/>
  <c r="G31" i="11"/>
  <c r="F31" i="11"/>
  <c r="E31" i="11"/>
  <c r="D31" i="11"/>
  <c r="C31" i="11"/>
  <c r="B31" i="11"/>
  <c r="B12" i="11"/>
  <c r="M11" i="11"/>
  <c r="L11" i="11"/>
  <c r="K11" i="11"/>
  <c r="J11" i="11"/>
  <c r="I11" i="11"/>
  <c r="H11" i="11"/>
  <c r="G11" i="11"/>
  <c r="F11" i="11"/>
  <c r="E11" i="11"/>
  <c r="D11" i="11"/>
  <c r="C11" i="11"/>
  <c r="B11" i="11"/>
  <c r="B9" i="11"/>
  <c r="O35" i="7"/>
  <c r="N35" i="7"/>
  <c r="M35" i="7"/>
  <c r="L35" i="7"/>
  <c r="K35" i="7"/>
  <c r="J27" i="9" s="1"/>
  <c r="J9" i="11" s="1"/>
  <c r="J35" i="7"/>
  <c r="I35" i="7"/>
  <c r="H35" i="7"/>
  <c r="G35" i="7"/>
  <c r="F35" i="7"/>
  <c r="E35" i="7"/>
  <c r="D35" i="7"/>
  <c r="B27" i="9" s="1"/>
  <c r="O34" i="7"/>
  <c r="N34" i="7"/>
  <c r="M34" i="7"/>
  <c r="L34" i="7"/>
  <c r="K34" i="7"/>
  <c r="J34" i="7"/>
  <c r="I34" i="7"/>
  <c r="H34" i="7"/>
  <c r="G34" i="7"/>
  <c r="F34" i="7"/>
  <c r="E34" i="7"/>
  <c r="D34" i="7"/>
  <c r="B26" i="9" s="1"/>
  <c r="O33" i="7"/>
  <c r="N33" i="7"/>
  <c r="M33" i="7"/>
  <c r="L33" i="7"/>
  <c r="K33" i="7"/>
  <c r="J21" i="9" s="1"/>
  <c r="J33" i="7"/>
  <c r="I33" i="7"/>
  <c r="H33" i="7"/>
  <c r="G33" i="7"/>
  <c r="F33" i="7"/>
  <c r="E33" i="7"/>
  <c r="D33" i="7"/>
  <c r="B21" i="9" s="1"/>
  <c r="O32" i="7"/>
  <c r="N32" i="7"/>
  <c r="M32" i="7"/>
  <c r="L32" i="7"/>
  <c r="K32" i="7"/>
  <c r="J20" i="9" s="1"/>
  <c r="J32" i="7"/>
  <c r="I32" i="7"/>
  <c r="H32" i="7"/>
  <c r="G32" i="7"/>
  <c r="F32" i="7"/>
  <c r="E32" i="7"/>
  <c r="D32" i="7"/>
  <c r="B20" i="9" s="1"/>
  <c r="O31" i="7"/>
  <c r="N31" i="7"/>
  <c r="M31" i="7"/>
  <c r="L31" i="7"/>
  <c r="K31" i="7"/>
  <c r="J31" i="7"/>
  <c r="I31" i="7"/>
  <c r="H31" i="7"/>
  <c r="G31" i="7"/>
  <c r="F31" i="7"/>
  <c r="E31" i="7"/>
  <c r="D31" i="7"/>
  <c r="B19" i="9" s="1"/>
  <c r="O30" i="7"/>
  <c r="N30" i="7"/>
  <c r="M30" i="7"/>
  <c r="L30" i="7"/>
  <c r="K30" i="7"/>
  <c r="J30" i="7"/>
  <c r="I30" i="7"/>
  <c r="H30" i="7"/>
  <c r="G30" i="7"/>
  <c r="F30" i="7"/>
  <c r="E30" i="7"/>
  <c r="D30" i="7"/>
  <c r="B18" i="9" s="1"/>
  <c r="O29" i="7"/>
  <c r="N29" i="7"/>
  <c r="M17" i="9" s="1"/>
  <c r="M29" i="7"/>
  <c r="L29" i="7"/>
  <c r="K17" i="9" s="1"/>
  <c r="K29" i="7"/>
  <c r="J29" i="7"/>
  <c r="I29" i="7"/>
  <c r="G17" i="9" s="1"/>
  <c r="H29" i="7"/>
  <c r="G29" i="7"/>
  <c r="F29" i="7"/>
  <c r="E29" i="7"/>
  <c r="D29" i="7"/>
  <c r="B17" i="9" s="1"/>
  <c r="O28" i="7"/>
  <c r="N28" i="7"/>
  <c r="M28" i="7"/>
  <c r="L28" i="7"/>
  <c r="K28" i="7"/>
  <c r="J28" i="7"/>
  <c r="I28" i="7"/>
  <c r="H28" i="7"/>
  <c r="G28" i="7"/>
  <c r="F28" i="7"/>
  <c r="E28" i="7"/>
  <c r="D28" i="7"/>
  <c r="B16" i="9" s="1"/>
  <c r="O27" i="7"/>
  <c r="N27" i="7"/>
  <c r="M27" i="7"/>
  <c r="L27" i="7"/>
  <c r="K27" i="7"/>
  <c r="J15" i="9" s="1"/>
  <c r="J27" i="7"/>
  <c r="I27" i="7"/>
  <c r="H27" i="7"/>
  <c r="G27" i="7"/>
  <c r="F27" i="7"/>
  <c r="E27" i="7"/>
  <c r="D27" i="7"/>
  <c r="B15" i="9" s="1"/>
  <c r="O26" i="7"/>
  <c r="N26" i="7"/>
  <c r="M26" i="7"/>
  <c r="L26" i="7"/>
  <c r="K26" i="7"/>
  <c r="J26" i="7"/>
  <c r="I26" i="7"/>
  <c r="H26" i="7"/>
  <c r="G26" i="7"/>
  <c r="F26" i="7"/>
  <c r="E26" i="7"/>
  <c r="D26" i="7"/>
  <c r="B14" i="9" s="1"/>
  <c r="O25" i="7"/>
  <c r="N25" i="7"/>
  <c r="M25" i="7"/>
  <c r="L25" i="7"/>
  <c r="K25" i="7"/>
  <c r="J13" i="9" s="1"/>
  <c r="J25" i="7"/>
  <c r="I25" i="7"/>
  <c r="H25" i="7"/>
  <c r="G13" i="9" s="1"/>
  <c r="G25" i="7"/>
  <c r="F25" i="7"/>
  <c r="E25" i="7"/>
  <c r="D25" i="7"/>
  <c r="B13" i="9" s="1"/>
  <c r="O24" i="7"/>
  <c r="C15" i="23" s="1"/>
  <c r="N24" i="7"/>
  <c r="M24" i="7"/>
  <c r="L24" i="7"/>
  <c r="K24" i="7"/>
  <c r="J24" i="7"/>
  <c r="I24" i="7"/>
  <c r="H24" i="7"/>
  <c r="G24" i="7"/>
  <c r="F24" i="7"/>
  <c r="E24" i="7"/>
  <c r="D24" i="7"/>
  <c r="B12" i="9" s="1"/>
  <c r="O23" i="7"/>
  <c r="N23" i="7"/>
  <c r="M23" i="7"/>
  <c r="L23" i="7"/>
  <c r="K23" i="7"/>
  <c r="J8" i="9" s="1"/>
  <c r="J23" i="7"/>
  <c r="I23" i="7"/>
  <c r="H23" i="7"/>
  <c r="G23" i="7"/>
  <c r="F23" i="7"/>
  <c r="E23" i="7"/>
  <c r="D23" i="7"/>
  <c r="B8" i="9" s="1"/>
  <c r="O22" i="7"/>
  <c r="N22" i="7"/>
  <c r="M22" i="7"/>
  <c r="L22" i="7"/>
  <c r="K22" i="7"/>
  <c r="J22" i="7"/>
  <c r="I22" i="7"/>
  <c r="H22" i="7"/>
  <c r="G22" i="7"/>
  <c r="F22" i="7"/>
  <c r="E22" i="7"/>
  <c r="D22" i="7"/>
  <c r="B7" i="9" s="1"/>
  <c r="O21" i="7"/>
  <c r="N21" i="7"/>
  <c r="M21" i="7"/>
  <c r="L21" i="7"/>
  <c r="K21" i="7"/>
  <c r="J9" i="9" s="1"/>
  <c r="J21" i="7"/>
  <c r="I21" i="7"/>
  <c r="H21" i="7"/>
  <c r="G21" i="7"/>
  <c r="F21" i="7"/>
  <c r="E21" i="7"/>
  <c r="D21" i="7"/>
  <c r="B6" i="9" s="1"/>
  <c r="O20" i="7"/>
  <c r="N20" i="7"/>
  <c r="M20" i="7"/>
  <c r="L20" i="7"/>
  <c r="K20" i="7"/>
  <c r="J20" i="7"/>
  <c r="I20" i="7"/>
  <c r="H20" i="7"/>
  <c r="G20" i="7"/>
  <c r="F20" i="7"/>
  <c r="E20" i="7"/>
  <c r="D20" i="7"/>
  <c r="O19" i="7"/>
  <c r="N19" i="7"/>
  <c r="M19" i="7"/>
  <c r="L19" i="7"/>
  <c r="K19" i="7"/>
  <c r="J19" i="7"/>
  <c r="I19" i="7"/>
  <c r="H19" i="7"/>
  <c r="G19" i="7"/>
  <c r="F19" i="7"/>
  <c r="E19" i="7"/>
  <c r="D19" i="7"/>
  <c r="B22" i="11" s="1"/>
  <c r="O18" i="7"/>
  <c r="N18" i="7"/>
  <c r="M18" i="7"/>
  <c r="L18" i="7"/>
  <c r="K21" i="11" s="1"/>
  <c r="K18" i="7"/>
  <c r="J21" i="11" s="1"/>
  <c r="J18" i="7"/>
  <c r="I18" i="7"/>
  <c r="H18" i="7"/>
  <c r="G18" i="7"/>
  <c r="F18" i="7"/>
  <c r="E18" i="7"/>
  <c r="D18" i="7"/>
  <c r="B21" i="11" s="1"/>
  <c r="O17" i="7"/>
  <c r="N17" i="7"/>
  <c r="M17" i="7"/>
  <c r="L17" i="7"/>
  <c r="K17" i="7"/>
  <c r="J17" i="7"/>
  <c r="I17" i="7"/>
  <c r="H17" i="7"/>
  <c r="G17" i="7"/>
  <c r="F17" i="7"/>
  <c r="E17" i="7"/>
  <c r="D17" i="7"/>
  <c r="B20" i="11" s="1"/>
  <c r="O16" i="7"/>
  <c r="M17" i="8" s="1"/>
  <c r="N16" i="7"/>
  <c r="L17" i="8" s="1"/>
  <c r="M16" i="7"/>
  <c r="K17" i="8" s="1"/>
  <c r="L16" i="7"/>
  <c r="J17" i="8" s="1"/>
  <c r="K16" i="7"/>
  <c r="I17" i="8" s="1"/>
  <c r="J16" i="7"/>
  <c r="H17" i="8" s="1"/>
  <c r="I16" i="7"/>
  <c r="G17" i="8" s="1"/>
  <c r="H16" i="7"/>
  <c r="F17" i="8" s="1"/>
  <c r="G16" i="7"/>
  <c r="E17" i="8" s="1"/>
  <c r="F16" i="7"/>
  <c r="D17" i="8" s="1"/>
  <c r="E16" i="7"/>
  <c r="C17" i="8" s="1"/>
  <c r="D16" i="7"/>
  <c r="B17" i="8" s="1"/>
  <c r="O15" i="7"/>
  <c r="M18" i="8" s="1"/>
  <c r="N15" i="7"/>
  <c r="L18" i="8" s="1"/>
  <c r="M15" i="7"/>
  <c r="K18" i="8" s="1"/>
  <c r="L15" i="7"/>
  <c r="J18" i="8" s="1"/>
  <c r="K15" i="7"/>
  <c r="I18" i="8" s="1"/>
  <c r="J15" i="7"/>
  <c r="H18" i="8" s="1"/>
  <c r="I15" i="7"/>
  <c r="G18" i="8" s="1"/>
  <c r="H15" i="7"/>
  <c r="F18" i="8" s="1"/>
  <c r="G15" i="7"/>
  <c r="E18" i="8" s="1"/>
  <c r="F15" i="7"/>
  <c r="D18" i="8" s="1"/>
  <c r="E15" i="7"/>
  <c r="C18" i="8" s="1"/>
  <c r="D15" i="7"/>
  <c r="B18" i="8" s="1"/>
  <c r="O14" i="7"/>
  <c r="M16" i="8" s="1"/>
  <c r="N14" i="7"/>
  <c r="L16" i="8" s="1"/>
  <c r="M14" i="7"/>
  <c r="K16" i="8" s="1"/>
  <c r="L14" i="7"/>
  <c r="J16" i="8" s="1"/>
  <c r="K14" i="7"/>
  <c r="I16" i="8" s="1"/>
  <c r="J14" i="7"/>
  <c r="H16" i="8" s="1"/>
  <c r="I14" i="7"/>
  <c r="G16" i="8" s="1"/>
  <c r="H14" i="7"/>
  <c r="F16" i="8" s="1"/>
  <c r="G14" i="7"/>
  <c r="E16" i="8" s="1"/>
  <c r="F14" i="7"/>
  <c r="D16" i="8" s="1"/>
  <c r="E14" i="7"/>
  <c r="C16" i="8" s="1"/>
  <c r="D14" i="7"/>
  <c r="B16" i="8" s="1"/>
  <c r="O13" i="7"/>
  <c r="M19" i="8" s="1"/>
  <c r="N13" i="7"/>
  <c r="M13" i="7"/>
  <c r="L13" i="7"/>
  <c r="J15" i="8" s="1"/>
  <c r="K13" i="7"/>
  <c r="I15" i="8" s="1"/>
  <c r="J13" i="7"/>
  <c r="H15" i="8" s="1"/>
  <c r="I13" i="7"/>
  <c r="H13" i="7"/>
  <c r="G13" i="7"/>
  <c r="E15" i="8" s="1"/>
  <c r="F13" i="7"/>
  <c r="D15" i="8" s="1"/>
  <c r="E13" i="7"/>
  <c r="C15" i="8" s="1"/>
  <c r="D13" i="7"/>
  <c r="B19" i="8" s="1"/>
  <c r="O12" i="7"/>
  <c r="M11" i="8" s="1"/>
  <c r="N12" i="7"/>
  <c r="M12" i="7"/>
  <c r="L12" i="7"/>
  <c r="J11" i="8" s="1"/>
  <c r="K12" i="7"/>
  <c r="I11" i="8" s="1"/>
  <c r="J12" i="7"/>
  <c r="I12" i="7"/>
  <c r="H12" i="7"/>
  <c r="F11" i="8" s="1"/>
  <c r="G12" i="7"/>
  <c r="F12" i="7"/>
  <c r="E12" i="7"/>
  <c r="C11" i="8" s="1"/>
  <c r="D12" i="7"/>
  <c r="B11" i="8" s="1"/>
  <c r="O11" i="7"/>
  <c r="M10" i="8" s="1"/>
  <c r="N11" i="7"/>
  <c r="L10" i="8" s="1"/>
  <c r="M11" i="7"/>
  <c r="K10" i="8" s="1"/>
  <c r="L11" i="7"/>
  <c r="J10" i="8" s="1"/>
  <c r="K11" i="7"/>
  <c r="I10" i="8" s="1"/>
  <c r="J11" i="7"/>
  <c r="H10" i="8" s="1"/>
  <c r="I11" i="7"/>
  <c r="G10" i="8" s="1"/>
  <c r="H11" i="7"/>
  <c r="F10" i="8" s="1"/>
  <c r="G11" i="7"/>
  <c r="E10" i="8" s="1"/>
  <c r="F11" i="7"/>
  <c r="D10" i="8" s="1"/>
  <c r="E11" i="7"/>
  <c r="C10" i="8" s="1"/>
  <c r="D11" i="7"/>
  <c r="B10" i="8" s="1"/>
  <c r="O10" i="7"/>
  <c r="N10" i="7"/>
  <c r="L8" i="8" s="1"/>
  <c r="M10" i="7"/>
  <c r="K8" i="8" s="1"/>
  <c r="L10" i="7"/>
  <c r="J8" i="8" s="1"/>
  <c r="K10" i="7"/>
  <c r="J10" i="7"/>
  <c r="H8" i="8" s="1"/>
  <c r="I10" i="7"/>
  <c r="H10" i="7"/>
  <c r="F8" i="8" s="1"/>
  <c r="G10" i="7"/>
  <c r="E8" i="8" s="1"/>
  <c r="F10" i="7"/>
  <c r="D8" i="8" s="1"/>
  <c r="E10" i="7"/>
  <c r="C8" i="8" s="1"/>
  <c r="D10" i="7"/>
  <c r="B13" i="11" s="1"/>
  <c r="O9" i="7"/>
  <c r="N9" i="7"/>
  <c r="M9" i="7"/>
  <c r="L9" i="7"/>
  <c r="K9" i="7"/>
  <c r="J9" i="7"/>
  <c r="I9" i="7"/>
  <c r="H9" i="7"/>
  <c r="G9" i="7"/>
  <c r="F9" i="7"/>
  <c r="E9" i="7"/>
  <c r="D9" i="7"/>
  <c r="O8" i="7"/>
  <c r="N8" i="7"/>
  <c r="M8" i="7"/>
  <c r="L8" i="7"/>
  <c r="K8" i="7"/>
  <c r="J8" i="7"/>
  <c r="I8" i="7"/>
  <c r="H8" i="7"/>
  <c r="G8" i="7"/>
  <c r="F8" i="7"/>
  <c r="E8" i="7"/>
  <c r="D8" i="7"/>
  <c r="O7" i="7"/>
  <c r="B24" i="23" s="1"/>
  <c r="D24" i="23" s="1"/>
  <c r="E24" i="23" s="1"/>
  <c r="N7" i="7"/>
  <c r="L6" i="8" s="1"/>
  <c r="M7" i="7"/>
  <c r="K6" i="8" s="1"/>
  <c r="L7" i="7"/>
  <c r="J6" i="8" s="1"/>
  <c r="K7" i="7"/>
  <c r="I6" i="8" s="1"/>
  <c r="J7" i="7"/>
  <c r="H6" i="8" s="1"/>
  <c r="I7" i="7"/>
  <c r="H7" i="7"/>
  <c r="G7" i="7"/>
  <c r="E6" i="8" s="1"/>
  <c r="F7" i="7"/>
  <c r="D6" i="8" s="1"/>
  <c r="E7" i="7"/>
  <c r="D7" i="7"/>
  <c r="O6" i="7"/>
  <c r="M9" i="8" s="1"/>
  <c r="N6" i="7"/>
  <c r="L9" i="8" s="1"/>
  <c r="M6" i="7"/>
  <c r="L6" i="7"/>
  <c r="J9" i="8" s="1"/>
  <c r="K6" i="7"/>
  <c r="I9" i="8" s="1"/>
  <c r="J6" i="7"/>
  <c r="H9" i="8" s="1"/>
  <c r="I6" i="7"/>
  <c r="H6" i="7"/>
  <c r="F9" i="8" s="1"/>
  <c r="G6" i="7"/>
  <c r="F6" i="7"/>
  <c r="E6" i="7"/>
  <c r="D6" i="7"/>
  <c r="B14" i="11" s="1"/>
  <c r="O5" i="7"/>
  <c r="G10" i="20" s="1"/>
  <c r="N5" i="7"/>
  <c r="M5" i="7"/>
  <c r="L5" i="7"/>
  <c r="L36" i="7" s="1"/>
  <c r="K5" i="7"/>
  <c r="J26" i="11" s="1"/>
  <c r="J5" i="7"/>
  <c r="I26" i="11" s="1"/>
  <c r="I5" i="7"/>
  <c r="H26" i="11" s="1"/>
  <c r="H5" i="7"/>
  <c r="G26" i="11" s="1"/>
  <c r="G5" i="7"/>
  <c r="F26" i="11" s="1"/>
  <c r="F5" i="7"/>
  <c r="E5" i="7"/>
  <c r="C12" i="8" s="1"/>
  <c r="D5" i="7"/>
  <c r="D36" i="7" s="1"/>
  <c r="I786" i="6"/>
  <c r="H786" i="6"/>
  <c r="G786" i="6"/>
  <c r="C12" i="4"/>
  <c r="D7" i="4" s="1"/>
  <c r="D11" i="4"/>
  <c r="H20" i="11" l="1"/>
  <c r="N36" i="7"/>
  <c r="F15" i="11"/>
  <c r="F21" i="11"/>
  <c r="F22" i="11"/>
  <c r="F14" i="9"/>
  <c r="F15" i="9"/>
  <c r="F18" i="9"/>
  <c r="F19" i="9"/>
  <c r="F27" i="9"/>
  <c r="F9" i="11" s="1"/>
  <c r="K7" i="9"/>
  <c r="L20" i="9"/>
  <c r="M19" i="9"/>
  <c r="K20" i="11"/>
  <c r="G14" i="19"/>
  <c r="K20" i="9"/>
  <c r="L18" i="9"/>
  <c r="J10" i="15"/>
  <c r="C11" i="16" s="1"/>
  <c r="D11" i="16" s="1"/>
  <c r="E14" i="11"/>
  <c r="E20" i="11"/>
  <c r="E6" i="9"/>
  <c r="E10" i="11" s="1"/>
  <c r="E26" i="9"/>
  <c r="E8" i="11" s="1"/>
  <c r="M36" i="7"/>
  <c r="L8" i="9"/>
  <c r="B6" i="8"/>
  <c r="B23" i="11"/>
  <c r="D12" i="8"/>
  <c r="E13" i="9"/>
  <c r="E16" i="9"/>
  <c r="E17" i="9"/>
  <c r="E20" i="9"/>
  <c r="G6" i="10"/>
  <c r="G7" i="10"/>
  <c r="B8" i="10"/>
  <c r="K8" i="9"/>
  <c r="D8" i="4"/>
  <c r="I15" i="9"/>
  <c r="I21" i="9"/>
  <c r="I27" i="9"/>
  <c r="I9" i="11" s="1"/>
  <c r="M7" i="12"/>
  <c r="M12" i="12" s="1"/>
  <c r="D7" i="12"/>
  <c r="D12" i="12" s="1"/>
  <c r="J16" i="15"/>
  <c r="C17" i="16" s="1"/>
  <c r="D17" i="16" s="1"/>
  <c r="J6" i="9"/>
  <c r="J10" i="11" s="1"/>
  <c r="K18" i="9"/>
  <c r="K19" i="9"/>
  <c r="L17" i="9"/>
  <c r="J12" i="15"/>
  <c r="C13" i="16" s="1"/>
  <c r="D13" i="16" s="1"/>
  <c r="G8" i="19"/>
  <c r="G19" i="15"/>
  <c r="J17" i="15"/>
  <c r="C18" i="16" s="1"/>
  <c r="D18" i="16" s="1"/>
  <c r="J19" i="9"/>
  <c r="M15" i="9"/>
  <c r="M18" i="9"/>
  <c r="M21" i="9"/>
  <c r="M26" i="9"/>
  <c r="M12" i="11" s="1"/>
  <c r="J7" i="9"/>
  <c r="J6" i="10"/>
  <c r="M6" i="9"/>
  <c r="M10" i="11" s="1"/>
  <c r="F5" i="12"/>
  <c r="F7" i="12" s="1"/>
  <c r="F16" i="12" s="1"/>
  <c r="C37" i="12"/>
  <c r="C28" i="12" s="1"/>
  <c r="C20" i="12" s="1"/>
  <c r="J20" i="11"/>
  <c r="M13" i="11"/>
  <c r="M22" i="11"/>
  <c r="G5" i="12"/>
  <c r="G7" i="12" s="1"/>
  <c r="G13" i="12" s="1"/>
  <c r="F20" i="15"/>
  <c r="J15" i="11"/>
  <c r="J22" i="9"/>
  <c r="J23" i="9" s="1"/>
  <c r="J28" i="9" s="1"/>
  <c r="D5" i="4"/>
  <c r="I7" i="8"/>
  <c r="H5" i="12"/>
  <c r="H7" i="12" s="1"/>
  <c r="H13" i="12" s="1"/>
  <c r="M20" i="11"/>
  <c r="D6" i="4"/>
  <c r="G8" i="10"/>
  <c r="F16" i="9"/>
  <c r="F17" i="9"/>
  <c r="F26" i="9"/>
  <c r="F12" i="11" s="1"/>
  <c r="J7" i="8"/>
  <c r="B22" i="9"/>
  <c r="J5" i="12"/>
  <c r="J7" i="12" s="1"/>
  <c r="B20" i="16"/>
  <c r="I16" i="9"/>
  <c r="J18" i="9"/>
  <c r="G7" i="9"/>
  <c r="G8" i="9"/>
  <c r="G22" i="9"/>
  <c r="G14" i="9"/>
  <c r="G15" i="9"/>
  <c r="G16" i="9"/>
  <c r="G18" i="9"/>
  <c r="G21" i="9"/>
  <c r="G26" i="9"/>
  <c r="G12" i="11" s="1"/>
  <c r="G27" i="9"/>
  <c r="G9" i="11" s="1"/>
  <c r="M7" i="8"/>
  <c r="B9" i="9"/>
  <c r="B23" i="9" s="1"/>
  <c r="B28" i="9" s="1"/>
  <c r="B6" i="11" s="1"/>
  <c r="B6" i="10"/>
  <c r="C7" i="12"/>
  <c r="C13" i="12" s="1"/>
  <c r="D5" i="20"/>
  <c r="D6" i="20" s="1"/>
  <c r="D7" i="20" s="1"/>
  <c r="D8" i="20" s="1"/>
  <c r="D9" i="20" s="1"/>
  <c r="D10" i="20" s="1"/>
  <c r="D11" i="20" s="1"/>
  <c r="D12" i="20" s="1"/>
  <c r="D13" i="20" s="1"/>
  <c r="D14" i="20" s="1"/>
  <c r="D15" i="20" s="1"/>
  <c r="D16" i="20" s="1"/>
  <c r="D17" i="20" s="1"/>
  <c r="D18" i="20" s="1"/>
  <c r="D19" i="20" s="1"/>
  <c r="D20" i="20" s="1"/>
  <c r="D21" i="20" s="1"/>
  <c r="D22" i="20" s="1"/>
  <c r="D23" i="20" s="1"/>
  <c r="D24" i="20" s="1"/>
  <c r="D25" i="20" s="1"/>
  <c r="D26" i="20" s="1"/>
  <c r="D27" i="20" s="1"/>
  <c r="D28" i="20" s="1"/>
  <c r="D29" i="20" s="1"/>
  <c r="D30" i="20" s="1"/>
  <c r="D31" i="20" s="1"/>
  <c r="D32" i="20" s="1"/>
  <c r="D33" i="20" s="1"/>
  <c r="D34" i="20" s="1"/>
  <c r="D35" i="20" s="1"/>
  <c r="D36" i="20" s="1"/>
  <c r="D37" i="20" s="1"/>
  <c r="D38" i="20" s="1"/>
  <c r="D39" i="20" s="1"/>
  <c r="D40" i="20" s="1"/>
  <c r="D41" i="20" s="1"/>
  <c r="D42" i="20" s="1"/>
  <c r="D43" i="20" s="1"/>
  <c r="D44" i="20" s="1"/>
  <c r="D45" i="20" s="1"/>
  <c r="D46" i="20" s="1"/>
  <c r="D47" i="20" s="1"/>
  <c r="D48" i="20" s="1"/>
  <c r="D49" i="20" s="1"/>
  <c r="D50" i="20" s="1"/>
  <c r="G5" i="20" s="1"/>
  <c r="G9" i="20" s="1"/>
  <c r="F19" i="8"/>
  <c r="G6" i="9"/>
  <c r="G10" i="11" s="1"/>
  <c r="H15" i="11"/>
  <c r="H13" i="9"/>
  <c r="F20" i="11"/>
  <c r="F20" i="9"/>
  <c r="H17" i="9"/>
  <c r="H26" i="9"/>
  <c r="H8" i="11" s="1"/>
  <c r="L73" i="12"/>
  <c r="L28" i="12" s="1"/>
  <c r="L20" i="12" s="1"/>
  <c r="J11" i="15"/>
  <c r="C12" i="16" s="1"/>
  <c r="D12" i="16" s="1"/>
  <c r="J14" i="15"/>
  <c r="C15" i="16" s="1"/>
  <c r="D15" i="16" s="1"/>
  <c r="F13" i="9"/>
  <c r="H6" i="10"/>
  <c r="H22" i="9"/>
  <c r="H18" i="9"/>
  <c r="E12" i="8"/>
  <c r="I14" i="9"/>
  <c r="I19" i="9"/>
  <c r="K22" i="11"/>
  <c r="K22" i="9"/>
  <c r="K21" i="9"/>
  <c r="F6" i="8"/>
  <c r="G6" i="8"/>
  <c r="G20" i="9"/>
  <c r="I20" i="11"/>
  <c r="I7" i="9"/>
  <c r="K15" i="11"/>
  <c r="J13" i="15"/>
  <c r="C14" i="16" s="1"/>
  <c r="D14" i="16" s="1"/>
  <c r="L13" i="11"/>
  <c r="L15" i="11"/>
  <c r="L16" i="11"/>
  <c r="L20" i="11"/>
  <c r="M21" i="11"/>
  <c r="L22" i="11"/>
  <c r="L6" i="9"/>
  <c r="L10" i="11" s="1"/>
  <c r="M7" i="9"/>
  <c r="M8" i="9"/>
  <c r="L22" i="9"/>
  <c r="L13" i="9"/>
  <c r="L14" i="9"/>
  <c r="L15" i="9"/>
  <c r="M16" i="9"/>
  <c r="L19" i="9"/>
  <c r="M20" i="9"/>
  <c r="L26" i="9"/>
  <c r="L8" i="11" s="1"/>
  <c r="L27" i="9"/>
  <c r="L9" i="11" s="1"/>
  <c r="I6" i="9"/>
  <c r="I10" i="11" s="1"/>
  <c r="L9" i="9"/>
  <c r="L23" i="9" s="1"/>
  <c r="I6" i="10"/>
  <c r="F14" i="11"/>
  <c r="F28" i="12"/>
  <c r="F20" i="12" s="1"/>
  <c r="D41" i="12"/>
  <c r="D28" i="12" s="1"/>
  <c r="D20" i="12" s="1"/>
  <c r="G9" i="13"/>
  <c r="H19" i="15"/>
  <c r="H21" i="15" s="1"/>
  <c r="G19" i="9"/>
  <c r="H7" i="9"/>
  <c r="H20" i="9"/>
  <c r="M28" i="12"/>
  <c r="M20" i="12" s="1"/>
  <c r="I16" i="11"/>
  <c r="I26" i="9"/>
  <c r="I8" i="11" s="1"/>
  <c r="J26" i="9"/>
  <c r="J12" i="11" s="1"/>
  <c r="I19" i="8"/>
  <c r="K13" i="11"/>
  <c r="K13" i="9"/>
  <c r="K27" i="9"/>
  <c r="K9" i="11" s="1"/>
  <c r="K12" i="8"/>
  <c r="J19" i="8"/>
  <c r="L21" i="9"/>
  <c r="H13" i="11"/>
  <c r="M9" i="9"/>
  <c r="H14" i="11"/>
  <c r="G21" i="15"/>
  <c r="H21" i="11"/>
  <c r="H8" i="9"/>
  <c r="H19" i="9"/>
  <c r="I22" i="9"/>
  <c r="J12" i="8"/>
  <c r="K14" i="11"/>
  <c r="K9" i="9"/>
  <c r="K14" i="9"/>
  <c r="K26" i="9"/>
  <c r="K8" i="11" s="1"/>
  <c r="G9" i="9"/>
  <c r="G23" i="9" s="1"/>
  <c r="M14" i="11"/>
  <c r="K26" i="11"/>
  <c r="B23" i="16"/>
  <c r="F21" i="9"/>
  <c r="H6" i="9"/>
  <c r="H10" i="11" s="1"/>
  <c r="H16" i="9"/>
  <c r="K23" i="11"/>
  <c r="H12" i="8"/>
  <c r="H15" i="9"/>
  <c r="H27" i="9"/>
  <c r="H9" i="11" s="1"/>
  <c r="J14" i="9"/>
  <c r="M17" i="12"/>
  <c r="K6" i="10"/>
  <c r="K16" i="9"/>
  <c r="C21" i="11"/>
  <c r="C8" i="9"/>
  <c r="C14" i="9"/>
  <c r="C17" i="9"/>
  <c r="C20" i="9"/>
  <c r="C26" i="9"/>
  <c r="C8" i="11" s="1"/>
  <c r="H22" i="11"/>
  <c r="H23" i="11" s="1"/>
  <c r="H14" i="9"/>
  <c r="I15" i="11"/>
  <c r="I21" i="11"/>
  <c r="J16" i="11"/>
  <c r="J22" i="11"/>
  <c r="J23" i="11" s="1"/>
  <c r="K16" i="11"/>
  <c r="K7" i="10"/>
  <c r="K15" i="9"/>
  <c r="K36" i="7"/>
  <c r="M8" i="8"/>
  <c r="M15" i="8"/>
  <c r="G12" i="9"/>
  <c r="B7" i="10"/>
  <c r="C14" i="11"/>
  <c r="C6" i="8"/>
  <c r="C20" i="11"/>
  <c r="C22" i="11"/>
  <c r="C9" i="9"/>
  <c r="C7" i="9"/>
  <c r="C12" i="9"/>
  <c r="C13" i="9"/>
  <c r="C15" i="9"/>
  <c r="C16" i="9"/>
  <c r="C18" i="9"/>
  <c r="C19" i="9"/>
  <c r="C21" i="9"/>
  <c r="C27" i="9"/>
  <c r="C9" i="11" s="1"/>
  <c r="J12" i="9"/>
  <c r="L16" i="9"/>
  <c r="L26" i="11"/>
  <c r="D14" i="11"/>
  <c r="D15" i="11"/>
  <c r="D20" i="11"/>
  <c r="D21" i="11"/>
  <c r="D8" i="10"/>
  <c r="D7" i="9"/>
  <c r="E12" i="9"/>
  <c r="D13" i="9"/>
  <c r="D14" i="9"/>
  <c r="E15" i="9"/>
  <c r="D16" i="9"/>
  <c r="D17" i="9"/>
  <c r="D18" i="9"/>
  <c r="D19" i="9"/>
  <c r="D20" i="9"/>
  <c r="D21" i="9"/>
  <c r="D26" i="9"/>
  <c r="D8" i="11" s="1"/>
  <c r="E27" i="9"/>
  <c r="E9" i="11" s="1"/>
  <c r="M12" i="9"/>
  <c r="M22" i="9"/>
  <c r="L7" i="10"/>
  <c r="M15" i="11"/>
  <c r="G10" i="12"/>
  <c r="J8" i="11"/>
  <c r="D11" i="12"/>
  <c r="F23" i="11"/>
  <c r="E12" i="11"/>
  <c r="H12" i="11"/>
  <c r="M8" i="11"/>
  <c r="B10" i="11"/>
  <c r="L12" i="11"/>
  <c r="C19" i="8"/>
  <c r="C21" i="8" s="1"/>
  <c r="D19" i="8"/>
  <c r="D21" i="8" s="1"/>
  <c r="D20" i="15"/>
  <c r="E7" i="9"/>
  <c r="E22" i="9"/>
  <c r="E21" i="9"/>
  <c r="G36" i="7"/>
  <c r="K7" i="8"/>
  <c r="E11" i="8"/>
  <c r="I12" i="8"/>
  <c r="I21" i="8" s="1"/>
  <c r="K15" i="8"/>
  <c r="E19" i="8"/>
  <c r="K6" i="9"/>
  <c r="K10" i="11" s="1"/>
  <c r="L7" i="9"/>
  <c r="E14" i="9"/>
  <c r="L6" i="10"/>
  <c r="C8" i="10"/>
  <c r="E13" i="11"/>
  <c r="I14" i="11"/>
  <c r="B16" i="11"/>
  <c r="L21" i="11"/>
  <c r="M26" i="11"/>
  <c r="K69" i="12"/>
  <c r="K28" i="12" s="1"/>
  <c r="K20" i="12" s="1"/>
  <c r="L5" i="12"/>
  <c r="L7" i="12" s="1"/>
  <c r="C13" i="11"/>
  <c r="E8" i="9"/>
  <c r="F6" i="9"/>
  <c r="F10" i="11" s="1"/>
  <c r="F7" i="9"/>
  <c r="J36" i="7"/>
  <c r="L7" i="8"/>
  <c r="B9" i="8"/>
  <c r="H11" i="8"/>
  <c r="L15" i="8"/>
  <c r="H19" i="8"/>
  <c r="D12" i="9"/>
  <c r="F13" i="11"/>
  <c r="L14" i="11"/>
  <c r="C16" i="11"/>
  <c r="B33" i="12"/>
  <c r="B28" i="12" s="1"/>
  <c r="B20" i="12" s="1"/>
  <c r="E36" i="7"/>
  <c r="D15" i="9"/>
  <c r="D13" i="11"/>
  <c r="C7" i="10"/>
  <c r="G11" i="20"/>
  <c r="B16" i="23" s="1"/>
  <c r="D16" i="23" s="1"/>
  <c r="E16" i="23" s="1"/>
  <c r="D22" i="11"/>
  <c r="D16" i="11"/>
  <c r="D9" i="9"/>
  <c r="D11" i="8"/>
  <c r="B15" i="11"/>
  <c r="E16" i="11"/>
  <c r="E22" i="11"/>
  <c r="C9" i="8"/>
  <c r="K5" i="12"/>
  <c r="K7" i="12" s="1"/>
  <c r="B8" i="8"/>
  <c r="D9" i="8"/>
  <c r="L12" i="8"/>
  <c r="E9" i="9"/>
  <c r="F12" i="9"/>
  <c r="F22" i="9"/>
  <c r="D7" i="10"/>
  <c r="F8" i="10"/>
  <c r="B7" i="12"/>
  <c r="B17" i="23"/>
  <c r="D17" i="23" s="1"/>
  <c r="E17" i="23" s="1"/>
  <c r="D10" i="4"/>
  <c r="D9" i="4"/>
  <c r="C14" i="23"/>
  <c r="D14" i="23" s="1"/>
  <c r="E14" i="23" s="1"/>
  <c r="I13" i="11"/>
  <c r="I8" i="10"/>
  <c r="I17" i="9"/>
  <c r="I18" i="9"/>
  <c r="M6" i="8"/>
  <c r="E9" i="8"/>
  <c r="K11" i="8"/>
  <c r="M12" i="8"/>
  <c r="K19" i="8"/>
  <c r="F9" i="9"/>
  <c r="C6" i="10"/>
  <c r="E7" i="10"/>
  <c r="C15" i="11"/>
  <c r="F16" i="11"/>
  <c r="E28" i="12"/>
  <c r="E20" i="12" s="1"/>
  <c r="J14" i="11"/>
  <c r="J13" i="11"/>
  <c r="J7" i="10"/>
  <c r="J16" i="9"/>
  <c r="J17" i="9"/>
  <c r="B7" i="8"/>
  <c r="L11" i="8"/>
  <c r="B15" i="8"/>
  <c r="L19" i="8"/>
  <c r="F8" i="9"/>
  <c r="H12" i="9"/>
  <c r="I13" i="9"/>
  <c r="D6" i="10"/>
  <c r="F7" i="10"/>
  <c r="H8" i="10"/>
  <c r="H16" i="11"/>
  <c r="C26" i="11"/>
  <c r="D22" i="9"/>
  <c r="F36" i="7"/>
  <c r="C22" i="9"/>
  <c r="E8" i="10"/>
  <c r="O36" i="7"/>
  <c r="C7" i="8"/>
  <c r="C6" i="9"/>
  <c r="C10" i="11" s="1"/>
  <c r="H9" i="9"/>
  <c r="I12" i="9"/>
  <c r="H21" i="9"/>
  <c r="E6" i="10"/>
  <c r="J8" i="10"/>
  <c r="E15" i="11"/>
  <c r="E21" i="11"/>
  <c r="E23" i="11" s="1"/>
  <c r="I22" i="11"/>
  <c r="D26" i="11"/>
  <c r="E7" i="12"/>
  <c r="G28" i="12"/>
  <c r="G20" i="12" s="1"/>
  <c r="D7" i="8"/>
  <c r="B12" i="8"/>
  <c r="B21" i="8" s="1"/>
  <c r="D6" i="9"/>
  <c r="D10" i="11" s="1"/>
  <c r="I9" i="9"/>
  <c r="E19" i="9"/>
  <c r="F6" i="10"/>
  <c r="H7" i="10"/>
  <c r="K8" i="10"/>
  <c r="E26" i="11"/>
  <c r="J28" i="12"/>
  <c r="J20" i="12" s="1"/>
  <c r="D27" i="9"/>
  <c r="D9" i="11" s="1"/>
  <c r="D8" i="9"/>
  <c r="M16" i="11"/>
  <c r="C13" i="23"/>
  <c r="D13" i="23" s="1"/>
  <c r="E13" i="23" s="1"/>
  <c r="C10" i="23"/>
  <c r="C18" i="23"/>
  <c r="D18" i="23" s="1"/>
  <c r="E18" i="23" s="1"/>
  <c r="M6" i="10"/>
  <c r="C19" i="23"/>
  <c r="D19" i="23" s="1"/>
  <c r="E19" i="23" s="1"/>
  <c r="M7" i="10"/>
  <c r="C20" i="23"/>
  <c r="D20" i="23" s="1"/>
  <c r="E20" i="23" s="1"/>
  <c r="C11" i="23"/>
  <c r="M8" i="10"/>
  <c r="M13" i="9"/>
  <c r="M14" i="9"/>
  <c r="M27" i="9"/>
  <c r="M9" i="11" s="1"/>
  <c r="E7" i="8"/>
  <c r="I8" i="8"/>
  <c r="K9" i="8"/>
  <c r="I8" i="9"/>
  <c r="K12" i="9"/>
  <c r="E18" i="9"/>
  <c r="I20" i="9"/>
  <c r="I7" i="10"/>
  <c r="L8" i="10"/>
  <c r="M10" i="12"/>
  <c r="H7" i="8"/>
  <c r="L12" i="9"/>
  <c r="B8" i="11"/>
  <c r="I5" i="12"/>
  <c r="I7" i="12" s="1"/>
  <c r="H57" i="12"/>
  <c r="H28" i="12" s="1"/>
  <c r="H20" i="12" s="1"/>
  <c r="E20" i="15"/>
  <c r="J15" i="15"/>
  <c r="C16" i="16" s="1"/>
  <c r="D16" i="16" s="1"/>
  <c r="I28" i="12"/>
  <c r="I20" i="12" s="1"/>
  <c r="G58" i="18"/>
  <c r="G59" i="18" s="1"/>
  <c r="H36" i="7"/>
  <c r="F7" i="8"/>
  <c r="F12" i="8"/>
  <c r="F15" i="8"/>
  <c r="G14" i="11"/>
  <c r="G13" i="11"/>
  <c r="G15" i="11"/>
  <c r="G16" i="11"/>
  <c r="G20" i="11"/>
  <c r="G21" i="11"/>
  <c r="G22" i="11"/>
  <c r="I36" i="7"/>
  <c r="G7" i="8"/>
  <c r="G8" i="8"/>
  <c r="G9" i="8"/>
  <c r="G11" i="8"/>
  <c r="G12" i="8"/>
  <c r="G15" i="8"/>
  <c r="G19" i="8"/>
  <c r="E19" i="15"/>
  <c r="E23" i="15" s="1"/>
  <c r="J9" i="15"/>
  <c r="B19" i="15"/>
  <c r="B21" i="15" s="1"/>
  <c r="J18" i="15"/>
  <c r="C19" i="15"/>
  <c r="C21" i="15" s="1"/>
  <c r="C20" i="15"/>
  <c r="D19" i="15"/>
  <c r="D21" i="15" s="1"/>
  <c r="J6" i="15"/>
  <c r="G7" i="15" s="1"/>
  <c r="B20" i="15"/>
  <c r="E51" i="17"/>
  <c r="G5" i="17"/>
  <c r="G51" i="17" s="1"/>
  <c r="B15" i="23" s="1"/>
  <c r="D15" i="23" s="1"/>
  <c r="E15" i="23" s="1"/>
  <c r="H5" i="18"/>
  <c r="O5" i="18" s="1"/>
  <c r="F19" i="15"/>
  <c r="F23" i="15" s="1"/>
  <c r="G20" i="15"/>
  <c r="I19" i="15"/>
  <c r="H20" i="15"/>
  <c r="G23" i="15"/>
  <c r="N5" i="18"/>
  <c r="D6" i="18" s="1"/>
  <c r="G8" i="11" l="1"/>
  <c r="D12" i="4"/>
  <c r="C10" i="12"/>
  <c r="N15" i="9"/>
  <c r="F13" i="12"/>
  <c r="C17" i="12"/>
  <c r="M23" i="11"/>
  <c r="F10" i="12"/>
  <c r="F11" i="12"/>
  <c r="C11" i="12"/>
  <c r="F12" i="12"/>
  <c r="C12" i="12"/>
  <c r="F17" i="12"/>
  <c r="G16" i="12"/>
  <c r="C16" i="12"/>
  <c r="J6" i="11"/>
  <c r="J9" i="10"/>
  <c r="G12" i="12"/>
  <c r="G17" i="12"/>
  <c r="D10" i="12"/>
  <c r="I23" i="9"/>
  <c r="I28" i="9" s="1"/>
  <c r="D17" i="12"/>
  <c r="D16" i="12"/>
  <c r="H11" i="12"/>
  <c r="D13" i="12"/>
  <c r="H10" i="12"/>
  <c r="M23" i="9"/>
  <c r="M28" i="9" s="1"/>
  <c r="M6" i="11" s="1"/>
  <c r="M17" i="11" s="1"/>
  <c r="F21" i="8"/>
  <c r="M13" i="12"/>
  <c r="M11" i="12"/>
  <c r="D23" i="11"/>
  <c r="E21" i="8"/>
  <c r="H16" i="12"/>
  <c r="F8" i="11"/>
  <c r="B9" i="10"/>
  <c r="B10" i="10" s="1"/>
  <c r="H12" i="12"/>
  <c r="G11" i="12"/>
  <c r="L23" i="11"/>
  <c r="M16" i="12"/>
  <c r="N20" i="9"/>
  <c r="F7" i="15"/>
  <c r="N14" i="9"/>
  <c r="N21" i="9"/>
  <c r="K12" i="11"/>
  <c r="H17" i="12"/>
  <c r="G28" i="9"/>
  <c r="D23" i="15"/>
  <c r="J21" i="8"/>
  <c r="C12" i="11"/>
  <c r="D12" i="11"/>
  <c r="N18" i="9"/>
  <c r="E7" i="15"/>
  <c r="K21" i="8"/>
  <c r="H21" i="8"/>
  <c r="B23" i="15"/>
  <c r="F21" i="15"/>
  <c r="N19" i="9"/>
  <c r="N16" i="9"/>
  <c r="L28" i="9"/>
  <c r="L9" i="10" s="1"/>
  <c r="N26" i="9"/>
  <c r="N17" i="9"/>
  <c r="N8" i="9"/>
  <c r="I23" i="11"/>
  <c r="N22" i="9"/>
  <c r="N7" i="10"/>
  <c r="N12" i="9"/>
  <c r="N6" i="10"/>
  <c r="F23" i="9"/>
  <c r="F28" i="9" s="1"/>
  <c r="F9" i="10" s="1"/>
  <c r="C23" i="11"/>
  <c r="N8" i="10"/>
  <c r="B5" i="23"/>
  <c r="D5" i="23" s="1"/>
  <c r="E5" i="23" s="1"/>
  <c r="I12" i="11"/>
  <c r="K23" i="9"/>
  <c r="K28" i="9" s="1"/>
  <c r="N27" i="9"/>
  <c r="E21" i="15"/>
  <c r="H23" i="9"/>
  <c r="H28" i="9" s="1"/>
  <c r="H9" i="10" s="1"/>
  <c r="N7" i="9"/>
  <c r="H23" i="15"/>
  <c r="N13" i="9"/>
  <c r="L5" i="10"/>
  <c r="K12" i="10"/>
  <c r="H12" i="10"/>
  <c r="I5" i="10"/>
  <c r="E5" i="10"/>
  <c r="D12" i="10"/>
  <c r="J17" i="11"/>
  <c r="J25" i="11" s="1"/>
  <c r="J27" i="11" s="1"/>
  <c r="J28" i="11" s="1"/>
  <c r="C23" i="9"/>
  <c r="C28" i="9" s="1"/>
  <c r="C23" i="15"/>
  <c r="H7" i="15"/>
  <c r="B7" i="15"/>
  <c r="B6" i="23"/>
  <c r="M21" i="8"/>
  <c r="B10" i="12"/>
  <c r="B11" i="12"/>
  <c r="B16" i="12"/>
  <c r="B12" i="12"/>
  <c r="B17" i="12"/>
  <c r="B13" i="12"/>
  <c r="C7" i="15"/>
  <c r="L11" i="12"/>
  <c r="L17" i="12"/>
  <c r="L13" i="12"/>
  <c r="L10" i="12"/>
  <c r="L16" i="12"/>
  <c r="L12" i="12"/>
  <c r="D7" i="15"/>
  <c r="L6" i="11"/>
  <c r="L17" i="11" s="1"/>
  <c r="I5" i="18"/>
  <c r="G21" i="8"/>
  <c r="D5" i="10"/>
  <c r="C12" i="10"/>
  <c r="F5" i="10"/>
  <c r="E12" i="10"/>
  <c r="G23" i="11"/>
  <c r="N9" i="9"/>
  <c r="N23" i="9" s="1"/>
  <c r="N6" i="9"/>
  <c r="I6" i="11"/>
  <c r="I9" i="10"/>
  <c r="G6" i="18"/>
  <c r="E6" i="18"/>
  <c r="F6" i="18" s="1"/>
  <c r="B12" i="10"/>
  <c r="C5" i="10"/>
  <c r="H6" i="11"/>
  <c r="H17" i="11" s="1"/>
  <c r="H25" i="11" s="1"/>
  <c r="H27" i="11" s="1"/>
  <c r="H28" i="11" s="1"/>
  <c r="H5" i="13"/>
  <c r="H8" i="13"/>
  <c r="H7" i="13"/>
  <c r="H6" i="13"/>
  <c r="I12" i="10"/>
  <c r="J5" i="10"/>
  <c r="J10" i="10" s="1"/>
  <c r="B17" i="11"/>
  <c r="B25" i="11" s="1"/>
  <c r="B27" i="11" s="1"/>
  <c r="B28" i="11" s="1"/>
  <c r="K10" i="12"/>
  <c r="K17" i="12"/>
  <c r="K12" i="12"/>
  <c r="K13" i="12"/>
  <c r="K11" i="12"/>
  <c r="K16" i="12"/>
  <c r="F12" i="10"/>
  <c r="G5" i="10"/>
  <c r="D23" i="9"/>
  <c r="D28" i="9" s="1"/>
  <c r="C19" i="16"/>
  <c r="D19" i="16" s="1"/>
  <c r="B11" i="23"/>
  <c r="D11" i="23" s="1"/>
  <c r="E11" i="23" s="1"/>
  <c r="E13" i="12"/>
  <c r="E17" i="12"/>
  <c r="E16" i="12"/>
  <c r="E11" i="12"/>
  <c r="E12" i="12"/>
  <c r="E10" i="12"/>
  <c r="E23" i="9"/>
  <c r="E28" i="9" s="1"/>
  <c r="J17" i="12"/>
  <c r="J12" i="12"/>
  <c r="J10" i="12"/>
  <c r="J13" i="12"/>
  <c r="J11" i="12"/>
  <c r="J16" i="12"/>
  <c r="B10" i="23"/>
  <c r="D10" i="23" s="1"/>
  <c r="E10" i="23" s="1"/>
  <c r="C10" i="16"/>
  <c r="J19" i="15"/>
  <c r="B9" i="23" s="1"/>
  <c r="I17" i="12"/>
  <c r="I16" i="12"/>
  <c r="I13" i="12"/>
  <c r="I12" i="12"/>
  <c r="I11" i="12"/>
  <c r="I10" i="12"/>
  <c r="L21" i="8"/>
  <c r="F6" i="11" l="1"/>
  <c r="F17" i="11" s="1"/>
  <c r="F25" i="11" s="1"/>
  <c r="F27" i="11" s="1"/>
  <c r="F28" i="11" s="1"/>
  <c r="M25" i="11"/>
  <c r="M27" i="11" s="1"/>
  <c r="M28" i="11" s="1"/>
  <c r="M9" i="10"/>
  <c r="N28" i="9"/>
  <c r="L25" i="11"/>
  <c r="L27" i="11" s="1"/>
  <c r="L28" i="11" s="1"/>
  <c r="I10" i="10"/>
  <c r="I13" i="10" s="1"/>
  <c r="B13" i="10"/>
  <c r="J12" i="10"/>
  <c r="J13" i="10" s="1"/>
  <c r="K5" i="10"/>
  <c r="G6" i="11"/>
  <c r="G17" i="11" s="1"/>
  <c r="G25" i="11" s="1"/>
  <c r="G27" i="11" s="1"/>
  <c r="G28" i="11" s="1"/>
  <c r="G9" i="10"/>
  <c r="G10" i="10" s="1"/>
  <c r="G13" i="10" s="1"/>
  <c r="F10" i="10"/>
  <c r="F13" i="10" s="1"/>
  <c r="B25" i="23"/>
  <c r="D25" i="23" s="1"/>
  <c r="E25" i="23" s="1"/>
  <c r="J23" i="15"/>
  <c r="B26" i="23" s="1"/>
  <c r="D26" i="23" s="1"/>
  <c r="E26" i="23" s="1"/>
  <c r="I17" i="11"/>
  <c r="I25" i="11" s="1"/>
  <c r="I27" i="11" s="1"/>
  <c r="I28" i="11" s="1"/>
  <c r="K6" i="11"/>
  <c r="K17" i="11" s="1"/>
  <c r="K25" i="11" s="1"/>
  <c r="K27" i="11" s="1"/>
  <c r="K28" i="11" s="1"/>
  <c r="K9" i="10"/>
  <c r="H9" i="13"/>
  <c r="C23" i="23"/>
  <c r="D23" i="23" s="1"/>
  <c r="E23" i="23" s="1"/>
  <c r="N9" i="10"/>
  <c r="C20" i="16"/>
  <c r="D20" i="16" s="1"/>
  <c r="D10" i="16"/>
  <c r="C6" i="11"/>
  <c r="C17" i="11" s="1"/>
  <c r="C25" i="11" s="1"/>
  <c r="C27" i="11" s="1"/>
  <c r="C28" i="11" s="1"/>
  <c r="C9" i="10"/>
  <c r="C10" i="10" s="1"/>
  <c r="C13" i="10" s="1"/>
  <c r="E6" i="11"/>
  <c r="E17" i="11" s="1"/>
  <c r="E25" i="11" s="1"/>
  <c r="E27" i="11" s="1"/>
  <c r="E28" i="11" s="1"/>
  <c r="E9" i="10"/>
  <c r="E10" i="10" s="1"/>
  <c r="E13" i="10" s="1"/>
  <c r="M5" i="10"/>
  <c r="M10" i="10" s="1"/>
  <c r="L12" i="10"/>
  <c r="C7" i="23"/>
  <c r="C9" i="23"/>
  <c r="D9" i="23" s="1"/>
  <c r="E9" i="23" s="1"/>
  <c r="C6" i="23"/>
  <c r="D6" i="23" s="1"/>
  <c r="E6" i="23" s="1"/>
  <c r="D51" i="19"/>
  <c r="M12" i="10"/>
  <c r="H6" i="18"/>
  <c r="D6" i="11"/>
  <c r="D17" i="11" s="1"/>
  <c r="D25" i="11" s="1"/>
  <c r="D27" i="11" s="1"/>
  <c r="D28" i="11" s="1"/>
  <c r="D9" i="10"/>
  <c r="D10" i="10" s="1"/>
  <c r="D13" i="10" s="1"/>
  <c r="N6" i="18"/>
  <c r="D7" i="18" s="1"/>
  <c r="G12" i="10"/>
  <c r="H5" i="10"/>
  <c r="H10" i="10" s="1"/>
  <c r="H13" i="10" s="1"/>
  <c r="J5" i="18"/>
  <c r="K5" i="18" s="1"/>
  <c r="L10" i="10"/>
  <c r="L13" i="10" l="1"/>
  <c r="K10" i="10"/>
  <c r="K13" i="10" s="1"/>
  <c r="B8" i="23"/>
  <c r="D8" i="23" s="1"/>
  <c r="E8" i="23" s="1"/>
  <c r="B7" i="23"/>
  <c r="D7" i="23" s="1"/>
  <c r="E7" i="23" s="1"/>
  <c r="M13" i="10"/>
  <c r="G7" i="19"/>
  <c r="G9" i="19" s="1"/>
  <c r="G10" i="19" s="1"/>
  <c r="G11" i="19"/>
  <c r="G12" i="19" s="1"/>
  <c r="L5" i="18"/>
  <c r="M5" i="18"/>
  <c r="I6" i="18"/>
  <c r="G7" i="18"/>
  <c r="N7" i="18" s="1"/>
  <c r="D8" i="18" s="1"/>
  <c r="E7" i="18"/>
  <c r="O6" i="18"/>
  <c r="F7" i="18" l="1"/>
  <c r="J6" i="18"/>
  <c r="K6" i="18" s="1"/>
  <c r="G8" i="18"/>
  <c r="N8" i="18" s="1"/>
  <c r="D9" i="18" s="1"/>
  <c r="E8" i="18"/>
  <c r="H7" i="18"/>
  <c r="G9" i="18" l="1"/>
  <c r="N9" i="18" s="1"/>
  <c r="D10" i="18" s="1"/>
  <c r="E9" i="18"/>
  <c r="M6" i="18"/>
  <c r="L6" i="18"/>
  <c r="I7" i="18"/>
  <c r="O7" i="18"/>
  <c r="F8" i="18" s="1"/>
  <c r="H8" i="18" s="1"/>
  <c r="G10" i="18" l="1"/>
  <c r="E10" i="18"/>
  <c r="N10" i="18"/>
  <c r="D11" i="18" s="1"/>
  <c r="O8" i="18"/>
  <c r="F9" i="18" s="1"/>
  <c r="I8" i="18"/>
  <c r="J7" i="18"/>
  <c r="K7" i="18" s="1"/>
  <c r="H9" i="18"/>
  <c r="G11" i="18" l="1"/>
  <c r="N11" i="18" s="1"/>
  <c r="D12" i="18" s="1"/>
  <c r="E11" i="18"/>
  <c r="L7" i="18"/>
  <c r="M7" i="18"/>
  <c r="I9" i="18"/>
  <c r="J8" i="18"/>
  <c r="K8" i="18" s="1"/>
  <c r="O9" i="18"/>
  <c r="F10" i="18" s="1"/>
  <c r="H10" i="18" s="1"/>
  <c r="J9" i="18" l="1"/>
  <c r="K9" i="18" s="1"/>
  <c r="I10" i="18"/>
  <c r="O10" i="18"/>
  <c r="F11" i="18" s="1"/>
  <c r="H11" i="18" s="1"/>
  <c r="G12" i="18"/>
  <c r="E12" i="18"/>
  <c r="M8" i="18"/>
  <c r="L8" i="18"/>
  <c r="J10" i="18" l="1"/>
  <c r="K10" i="18" s="1"/>
  <c r="I11" i="18"/>
  <c r="M9" i="18"/>
  <c r="L9" i="18"/>
  <c r="N12" i="18"/>
  <c r="D13" i="18" s="1"/>
  <c r="O11" i="18"/>
  <c r="F12" i="18" s="1"/>
  <c r="H12" i="18" s="1"/>
  <c r="G13" i="18" l="1"/>
  <c r="N13" i="18" s="1"/>
  <c r="D14" i="18" s="1"/>
  <c r="E13" i="18"/>
  <c r="I12" i="18"/>
  <c r="J11" i="18"/>
  <c r="K11" i="18" s="1"/>
  <c r="M10" i="18"/>
  <c r="L10" i="18"/>
  <c r="O12" i="18"/>
  <c r="F13" i="18" s="1"/>
  <c r="M11" i="18" l="1"/>
  <c r="L11" i="18"/>
  <c r="J12" i="18"/>
  <c r="K12" i="18" s="1"/>
  <c r="G14" i="18"/>
  <c r="N14" i="18" s="1"/>
  <c r="D15" i="18" s="1"/>
  <c r="E14" i="18"/>
  <c r="H13" i="18"/>
  <c r="O13" i="18" s="1"/>
  <c r="F14" i="18" s="1"/>
  <c r="G15" i="18" l="1"/>
  <c r="N15" i="18" s="1"/>
  <c r="D16" i="18" s="1"/>
  <c r="E15" i="18"/>
  <c r="H14" i="18"/>
  <c r="O14" i="18" s="1"/>
  <c r="F15" i="18" s="1"/>
  <c r="I13" i="18"/>
  <c r="L12" i="18"/>
  <c r="M12" i="18"/>
  <c r="G16" i="18" l="1"/>
  <c r="E16" i="18"/>
  <c r="N16" i="18"/>
  <c r="D17" i="18" s="1"/>
  <c r="I14" i="18"/>
  <c r="J13" i="18"/>
  <c r="K13" i="18" s="1"/>
  <c r="H15" i="18"/>
  <c r="O15" i="18" s="1"/>
  <c r="F16" i="18" s="1"/>
  <c r="L13" i="18" l="1"/>
  <c r="M13" i="18"/>
  <c r="I15" i="18"/>
  <c r="J14" i="18"/>
  <c r="K14" i="18" s="1"/>
  <c r="G17" i="18"/>
  <c r="E17" i="18"/>
  <c r="H16" i="18"/>
  <c r="O16" i="18" s="1"/>
  <c r="F17" i="18" s="1"/>
  <c r="H17" i="18" l="1"/>
  <c r="O17" i="18" s="1"/>
  <c r="N17" i="18"/>
  <c r="D18" i="18" s="1"/>
  <c r="M14" i="18"/>
  <c r="L14" i="18"/>
  <c r="J15" i="18"/>
  <c r="K15" i="18" s="1"/>
  <c r="I16" i="18"/>
  <c r="J16" i="18" l="1"/>
  <c r="K16" i="18" s="1"/>
  <c r="I17" i="18"/>
  <c r="M15" i="18"/>
  <c r="L15" i="18"/>
  <c r="G18" i="18"/>
  <c r="E18" i="18"/>
  <c r="F18" i="18" s="1"/>
  <c r="J17" i="18" l="1"/>
  <c r="K17" i="18" s="1"/>
  <c r="M16" i="18"/>
  <c r="L16" i="18"/>
  <c r="H18" i="18"/>
  <c r="I18" i="18" s="1"/>
  <c r="N18" i="18"/>
  <c r="D19" i="18" s="1"/>
  <c r="O18" i="18" l="1"/>
  <c r="M17" i="18"/>
  <c r="L17" i="18"/>
  <c r="J18" i="18"/>
  <c r="K18" i="18" s="1"/>
  <c r="M18" i="18" s="1"/>
  <c r="G19" i="18"/>
  <c r="N19" i="18" s="1"/>
  <c r="D20" i="18" s="1"/>
  <c r="E19" i="18"/>
  <c r="F19" i="18" s="1"/>
  <c r="L18" i="18" l="1"/>
  <c r="G20" i="18"/>
  <c r="N20" i="18" s="1"/>
  <c r="D21" i="18" s="1"/>
  <c r="E20" i="18"/>
  <c r="H19" i="18"/>
  <c r="I19" i="18" s="1"/>
  <c r="J19" i="18" l="1"/>
  <c r="K19" i="18"/>
  <c r="L19" i="18" s="1"/>
  <c r="G21" i="18"/>
  <c r="N21" i="18" s="1"/>
  <c r="D22" i="18" s="1"/>
  <c r="E21" i="18"/>
  <c r="O19" i="18"/>
  <c r="F20" i="18" s="1"/>
  <c r="H20" i="18" s="1"/>
  <c r="I20" i="18" s="1"/>
  <c r="M19" i="18" l="1"/>
  <c r="J20" i="18"/>
  <c r="K20" i="18" s="1"/>
  <c r="G22" i="18"/>
  <c r="N22" i="18" s="1"/>
  <c r="D23" i="18" s="1"/>
  <c r="E22" i="18"/>
  <c r="O20" i="18"/>
  <c r="F21" i="18" s="1"/>
  <c r="H21" i="18" s="1"/>
  <c r="I21" i="18" s="1"/>
  <c r="J21" i="18" l="1"/>
  <c r="K21" i="18" s="1"/>
  <c r="G23" i="18"/>
  <c r="E23" i="18"/>
  <c r="O21" i="18"/>
  <c r="F22" i="18" s="1"/>
  <c r="H22" i="18"/>
  <c r="I22" i="18" s="1"/>
  <c r="M20" i="18"/>
  <c r="L20" i="18"/>
  <c r="L21" i="18" l="1"/>
  <c r="M21" i="18"/>
  <c r="J22" i="18"/>
  <c r="K22" i="18" s="1"/>
  <c r="O22" i="18"/>
  <c r="F23" i="18" s="1"/>
  <c r="H23" i="18"/>
  <c r="I23" i="18" s="1"/>
  <c r="N23" i="18"/>
  <c r="D24" i="18" s="1"/>
  <c r="J23" i="18" l="1"/>
  <c r="K23" i="18" s="1"/>
  <c r="L22" i="18"/>
  <c r="M22" i="18"/>
  <c r="G24" i="18"/>
  <c r="E24" i="18"/>
  <c r="O23" i="18"/>
  <c r="F24" i="18" s="1"/>
  <c r="L23" i="18" l="1"/>
  <c r="M23" i="18"/>
  <c r="H24" i="18"/>
  <c r="I24" i="18" s="1"/>
  <c r="N24" i="18"/>
  <c r="D25" i="18" s="1"/>
  <c r="J24" i="18" l="1"/>
  <c r="K24" i="18" s="1"/>
  <c r="O24" i="18"/>
  <c r="G25" i="18"/>
  <c r="E25" i="18"/>
  <c r="L24" i="18" l="1"/>
  <c r="M24" i="18"/>
  <c r="N25" i="18"/>
  <c r="D26" i="18" s="1"/>
  <c r="F25" i="18"/>
  <c r="G26" i="18" l="1"/>
  <c r="N26" i="18" s="1"/>
  <c r="D27" i="18" s="1"/>
  <c r="E26" i="18"/>
  <c r="H25" i="18"/>
  <c r="O25" i="18" s="1"/>
  <c r="F26" i="18" s="1"/>
  <c r="I25" i="18" l="1"/>
  <c r="G27" i="18"/>
  <c r="N27" i="18" s="1"/>
  <c r="D28" i="18" s="1"/>
  <c r="E27" i="18"/>
  <c r="H26" i="18"/>
  <c r="O26" i="18" s="1"/>
  <c r="F27" i="18" s="1"/>
  <c r="G28" i="18" l="1"/>
  <c r="E28" i="18"/>
  <c r="N28" i="18"/>
  <c r="D29" i="18" s="1"/>
  <c r="H27" i="18"/>
  <c r="O27" i="18" s="1"/>
  <c r="F28" i="18" s="1"/>
  <c r="I26" i="18"/>
  <c r="J25" i="18"/>
  <c r="K25" i="18" s="1"/>
  <c r="I27" i="18" l="1"/>
  <c r="J26" i="18"/>
  <c r="K26" i="18" s="1"/>
  <c r="M25" i="18"/>
  <c r="L25" i="18"/>
  <c r="G29" i="18"/>
  <c r="E29" i="18"/>
  <c r="H28" i="18"/>
  <c r="O28" i="18" s="1"/>
  <c r="F29" i="18" s="1"/>
  <c r="H29" i="18" l="1"/>
  <c r="O29" i="18" s="1"/>
  <c r="N29" i="18"/>
  <c r="D30" i="18" s="1"/>
  <c r="M26" i="18"/>
  <c r="L26" i="18"/>
  <c r="J27" i="18"/>
  <c r="K27" i="18" s="1"/>
  <c r="I28" i="18"/>
  <c r="J28" i="18" l="1"/>
  <c r="K28" i="18" s="1"/>
  <c r="I29" i="18"/>
  <c r="L27" i="18"/>
  <c r="M27" i="18"/>
  <c r="G30" i="18"/>
  <c r="E30" i="18"/>
  <c r="F30" i="18" s="1"/>
  <c r="H30" i="18" l="1"/>
  <c r="O30" i="18" s="1"/>
  <c r="N30" i="18"/>
  <c r="D31" i="18" s="1"/>
  <c r="J29" i="18"/>
  <c r="K29" i="18" s="1"/>
  <c r="L28" i="18"/>
  <c r="M28" i="18"/>
  <c r="I30" i="18" l="1"/>
  <c r="L29" i="18"/>
  <c r="M29" i="18"/>
  <c r="J30" i="18"/>
  <c r="G31" i="18"/>
  <c r="N31" i="18" s="1"/>
  <c r="D32" i="18" s="1"/>
  <c r="E31" i="18"/>
  <c r="F31" i="18" s="1"/>
  <c r="K30" i="18"/>
  <c r="M30" i="18" s="1"/>
  <c r="L30" i="18" l="1"/>
  <c r="G32" i="18"/>
  <c r="N32" i="18" s="1"/>
  <c r="D33" i="18" s="1"/>
  <c r="E32" i="18"/>
  <c r="H31" i="18"/>
  <c r="I31" i="18" s="1"/>
  <c r="J31" i="18" l="1"/>
  <c r="K31" i="18" s="1"/>
  <c r="G33" i="18"/>
  <c r="N33" i="18" s="1"/>
  <c r="D34" i="18" s="1"/>
  <c r="E33" i="18"/>
  <c r="O31" i="18"/>
  <c r="F32" i="18" s="1"/>
  <c r="H32" i="18" s="1"/>
  <c r="I32" i="18" s="1"/>
  <c r="L31" i="18" l="1"/>
  <c r="M31" i="18"/>
  <c r="J32" i="18"/>
  <c r="K32" i="18" s="1"/>
  <c r="G34" i="18"/>
  <c r="N34" i="18" s="1"/>
  <c r="D35" i="18" s="1"/>
  <c r="E34" i="18"/>
  <c r="O32" i="18"/>
  <c r="F33" i="18" s="1"/>
  <c r="H33" i="18" l="1"/>
  <c r="G35" i="18"/>
  <c r="E35" i="18"/>
  <c r="M32" i="18"/>
  <c r="L32" i="18"/>
  <c r="N35" i="18" l="1"/>
  <c r="D36" i="18" s="1"/>
  <c r="I33" i="18"/>
  <c r="O33" i="18"/>
  <c r="F34" i="18" s="1"/>
  <c r="H34" i="18" l="1"/>
  <c r="J33" i="18"/>
  <c r="K33" i="18" s="1"/>
  <c r="I34" i="18"/>
  <c r="G36" i="18"/>
  <c r="E36" i="18"/>
  <c r="N36" i="18" l="1"/>
  <c r="D37" i="18" s="1"/>
  <c r="J34" i="18"/>
  <c r="M33" i="18"/>
  <c r="L33" i="18"/>
  <c r="K34" i="18"/>
  <c r="M34" i="18" s="1"/>
  <c r="O34" i="18"/>
  <c r="F35" i="18" s="1"/>
  <c r="L34" i="18" l="1"/>
  <c r="G37" i="18"/>
  <c r="N37" i="18" s="1"/>
  <c r="D38" i="18" s="1"/>
  <c r="E37" i="18"/>
  <c r="H35" i="18"/>
  <c r="I35" i="18" l="1"/>
  <c r="O35" i="18"/>
  <c r="F36" i="18" s="1"/>
  <c r="G38" i="18"/>
  <c r="N38" i="18" s="1"/>
  <c r="D39" i="18" s="1"/>
  <c r="E38" i="18"/>
  <c r="G39" i="18" l="1"/>
  <c r="E39" i="18"/>
  <c r="N39" i="18"/>
  <c r="D40" i="18" s="1"/>
  <c r="H36" i="18"/>
  <c r="I36" i="18"/>
  <c r="J35" i="18"/>
  <c r="K35" i="18" s="1"/>
  <c r="M35" i="18" l="1"/>
  <c r="L35" i="18"/>
  <c r="J36" i="18"/>
  <c r="K36" i="18" s="1"/>
  <c r="O36" i="18"/>
  <c r="F37" i="18" s="1"/>
  <c r="G40" i="18"/>
  <c r="N40" i="18" s="1"/>
  <c r="D41" i="18" s="1"/>
  <c r="E40" i="18"/>
  <c r="M36" i="18" l="1"/>
  <c r="L36" i="18"/>
  <c r="G41" i="18"/>
  <c r="E41" i="18"/>
  <c r="H37" i="18"/>
  <c r="I37" i="18" l="1"/>
  <c r="O37" i="18"/>
  <c r="F38" i="18" s="1"/>
  <c r="N41" i="18"/>
  <c r="D42" i="18" s="1"/>
  <c r="G42" i="18" l="1"/>
  <c r="E42" i="18"/>
  <c r="H38" i="18"/>
  <c r="I38" i="18" s="1"/>
  <c r="J37" i="18"/>
  <c r="K37" i="18" s="1"/>
  <c r="M37" i="18" l="1"/>
  <c r="L37" i="18"/>
  <c r="J38" i="18"/>
  <c r="K38" i="18"/>
  <c r="M38" i="18" s="1"/>
  <c r="O38" i="18"/>
  <c r="F39" i="18" s="1"/>
  <c r="N42" i="18"/>
  <c r="D43" i="18" s="1"/>
  <c r="H39" i="18" l="1"/>
  <c r="L38" i="18"/>
  <c r="G43" i="18"/>
  <c r="N43" i="18" s="1"/>
  <c r="D44" i="18" s="1"/>
  <c r="E43" i="18"/>
  <c r="G44" i="18" l="1"/>
  <c r="N44" i="18" s="1"/>
  <c r="D45" i="18" s="1"/>
  <c r="E44" i="18"/>
  <c r="I39" i="18"/>
  <c r="O39" i="18"/>
  <c r="F40" i="18" s="1"/>
  <c r="H40" i="18" l="1"/>
  <c r="I40" i="18" s="1"/>
  <c r="J39" i="18"/>
  <c r="K39" i="18" s="1"/>
  <c r="G45" i="18"/>
  <c r="N45" i="18" s="1"/>
  <c r="D46" i="18" s="1"/>
  <c r="E45" i="18"/>
  <c r="G46" i="18" l="1"/>
  <c r="N46" i="18" s="1"/>
  <c r="D47" i="18" s="1"/>
  <c r="E46" i="18"/>
  <c r="J40" i="18"/>
  <c r="K40" i="18" s="1"/>
  <c r="M39" i="18"/>
  <c r="L39" i="18"/>
  <c r="O40" i="18"/>
  <c r="F41" i="18" s="1"/>
  <c r="L40" i="18" l="1"/>
  <c r="M40" i="18"/>
  <c r="H41" i="18"/>
  <c r="G47" i="18"/>
  <c r="E47" i="18"/>
  <c r="N47" i="18" l="1"/>
  <c r="D48" i="18" s="1"/>
  <c r="I41" i="18"/>
  <c r="O41" i="18"/>
  <c r="F42" i="18" s="1"/>
  <c r="H42" i="18" l="1"/>
  <c r="I42" i="18"/>
  <c r="J41" i="18"/>
  <c r="K41" i="18" s="1"/>
  <c r="G48" i="18"/>
  <c r="E48" i="18"/>
  <c r="N48" i="18" l="1"/>
  <c r="D49" i="18" s="1"/>
  <c r="M41" i="18"/>
  <c r="L41" i="18"/>
  <c r="J42" i="18"/>
  <c r="K42" i="18" s="1"/>
  <c r="O42" i="18"/>
  <c r="F43" i="18" s="1"/>
  <c r="M42" i="18" l="1"/>
  <c r="L42" i="18"/>
  <c r="G49" i="18"/>
  <c r="N49" i="18" s="1"/>
  <c r="D50" i="18" s="1"/>
  <c r="E49" i="18"/>
  <c r="H43" i="18"/>
  <c r="I43" i="18" l="1"/>
  <c r="O43" i="18"/>
  <c r="F44" i="18" s="1"/>
  <c r="G50" i="18"/>
  <c r="N50" i="18" s="1"/>
  <c r="E50" i="18"/>
  <c r="G51" i="18" l="1"/>
  <c r="H44" i="18"/>
  <c r="I44" i="18" s="1"/>
  <c r="J43" i="18"/>
  <c r="K43" i="18" s="1"/>
  <c r="M43" i="18" l="1"/>
  <c r="L43" i="18"/>
  <c r="J44" i="18"/>
  <c r="K44" i="18" s="1"/>
  <c r="M44" i="18" s="1"/>
  <c r="O44" i="18"/>
  <c r="F45" i="18" s="1"/>
  <c r="H45" i="18" l="1"/>
  <c r="L44" i="18"/>
  <c r="I45" i="18" l="1"/>
  <c r="O45" i="18"/>
  <c r="F46" i="18" s="1"/>
  <c r="H46" i="18" l="1"/>
  <c r="J45" i="18"/>
  <c r="K45" i="18" s="1"/>
  <c r="I46" i="18"/>
  <c r="J46" i="18" l="1"/>
  <c r="M45" i="18"/>
  <c r="L45" i="18"/>
  <c r="K46" i="18"/>
  <c r="M46" i="18" s="1"/>
  <c r="O46" i="18"/>
  <c r="F47" i="18" s="1"/>
  <c r="L46" i="18" l="1"/>
  <c r="H47" i="18"/>
  <c r="I47" i="18" l="1"/>
  <c r="O47" i="18"/>
  <c r="F48" i="18" s="1"/>
  <c r="H48" i="18" l="1"/>
  <c r="I48" i="18" s="1"/>
  <c r="J47" i="18"/>
  <c r="K47" i="18" s="1"/>
  <c r="M47" i="18" l="1"/>
  <c r="L47" i="18"/>
  <c r="J48" i="18"/>
  <c r="K48" i="18" s="1"/>
  <c r="O48" i="18"/>
  <c r="F49" i="18" s="1"/>
  <c r="M48" i="18" l="1"/>
  <c r="L48" i="18"/>
  <c r="H49" i="18"/>
  <c r="I49" i="18" l="1"/>
  <c r="O49" i="18"/>
  <c r="F50" i="18" s="1"/>
  <c r="H50" i="18" l="1"/>
  <c r="I50" i="18" s="1"/>
  <c r="J50" i="18" s="1"/>
  <c r="J49" i="18"/>
  <c r="K49" i="18" s="1"/>
  <c r="M49" i="18" l="1"/>
  <c r="L49" i="18"/>
  <c r="H51" i="18"/>
  <c r="K50" i="18"/>
  <c r="K51" i="18" s="1"/>
  <c r="O50" i="18"/>
  <c r="L50" i="18" l="1"/>
  <c r="L51" i="18" s="1"/>
  <c r="M50" i="18"/>
  <c r="M51" i="18" s="1"/>
  <c r="G54" i="18" s="1"/>
  <c r="G60" i="18" s="1"/>
  <c r="G61" i="18" s="1"/>
  <c r="G53" i="18"/>
  <c r="B12" i="23" l="1"/>
  <c r="D12" i="23" s="1"/>
  <c r="E12" i="23" s="1"/>
  <c r="E27" i="23" s="1"/>
  <c r="G55" i="18"/>
</calcChain>
</file>

<file path=xl/sharedStrings.xml><?xml version="1.0" encoding="utf-8"?>
<sst xmlns="http://schemas.openxmlformats.org/spreadsheetml/2006/main" count="9897" uniqueCount="620">
  <si>
    <t>Stanmere Capital Partners I, L.P.</t>
  </si>
  <si>
    <t>Fund Accounting &amp; Financial Reporting Model — master case workbook</t>
  </si>
  <si>
    <t>DISCLAIMER: This model is for instructional purposes only. Stanmere Capital Partners I, L.P. and every</t>
  </si>
  <si>
    <t>entity named in this workbook are fictional. Any resemblance to an actual fund, firm or company is coincidental.</t>
  </si>
  <si>
    <t>HOW IT WORKS: there are TWO hard-keyed layers. (1) Journal Entries — the general ledger. (2) Allocations — the</t>
  </si>
  <si>
    <t>partner-level split of each component, produced by the allocation engine from the ledger and the LPA rules.</t>
  </si>
  <si>
    <t>Everything else derives by formula. Changing a journal entry updates the trial balance, every statement and</t>
  </si>
  <si>
    <t>the waterfall automatically, but Allocations must be regenerated for investor-level reports to follow.</t>
  </si>
  <si>
    <t>Tie-Out Checks includes six allocation controls proving Allocations agrees to the ledger component by component.</t>
  </si>
  <si>
    <t>SCOPE: this is a FIXED INSTRUCTIONAL CASE, not a live production model. The figures are complete and</t>
  </si>
  <si>
    <t>internally consistent as presented. To extend the case, regenerate the Allocations tab from the ledger</t>
  </si>
  <si>
    <t>using the fund's allocation rules (see Fund Terms), then confirm all twenty-two controls still pass.</t>
  </si>
  <si>
    <t>COLOUR: blue = hard-keyed input   ·   black = formula   ·   green = link to another tab</t>
  </si>
  <si>
    <t>Group</t>
  </si>
  <si>
    <t>Tab</t>
  </si>
  <si>
    <t>What it does</t>
  </si>
  <si>
    <t>1. Setup</t>
  </si>
  <si>
    <t>FS Cover</t>
  </si>
  <si>
    <t>Report cover, period and contacts</t>
  </si>
  <si>
    <t>Fund Terms</t>
  </si>
  <si>
    <t>Economic terms — every formula references these cells</t>
  </si>
  <si>
    <t>Partners</t>
  </si>
  <si>
    <t>Commitments, ownership %, admission close</t>
  </si>
  <si>
    <t>Chart of Accounts</t>
  </si>
  <si>
    <t>Account number, name, type, statement classification, normal balance, and a note on unused accounts</t>
  </si>
  <si>
    <t>2. Ledger</t>
  </si>
  <si>
    <t>Journal Entries</t>
  </si>
  <si>
    <t>The complete general ledger. Hard-keyed layer 1 of 2.</t>
  </si>
  <si>
    <t>Allocations</t>
  </si>
  <si>
    <t>Partner-level split of each component. Hard-keyed layer 2 of 2.</t>
  </si>
  <si>
    <t>Trial Balance</t>
  </si>
  <si>
    <t>Account by year, built with SUMIFS over Journal Entries</t>
  </si>
  <si>
    <t>3. Statements</t>
  </si>
  <si>
    <t>Balance Sheet</t>
  </si>
  <si>
    <t>Statement of Assets and Liabilities, ASC 946</t>
  </si>
  <si>
    <t>Income Statement</t>
  </si>
  <si>
    <t>Statement of Operations</t>
  </si>
  <si>
    <t>Changes in Partners' Capital</t>
  </si>
  <si>
    <t>Contributions, allocations, distributions, ending capital</t>
  </si>
  <si>
    <t>Cash Flow Statement</t>
  </si>
  <si>
    <t>Indirect method, gross purchases and disposals, reconciled to the change in cash, plus non-cash disclosure</t>
  </si>
  <si>
    <t>Financial Highlights</t>
  </si>
  <si>
    <t>LP-class ratios before and after carried interest, total return and since-inception IRR - required by ASC 946-205-50</t>
  </si>
  <si>
    <t>Schedule of Investments</t>
  </si>
  <si>
    <t>Positions at 31 December 2026, cost, fair value, % of net assets</t>
  </si>
  <si>
    <t>4. Investors</t>
  </si>
  <si>
    <t>Investor Allocations</t>
  </si>
  <si>
    <t>Allocation grid across the GP and six limited partners</t>
  </si>
  <si>
    <t>Investor Capital Accounts</t>
  </si>
  <si>
    <t>Per-investor capital account statement with a selector</t>
  </si>
  <si>
    <t>5. Economics</t>
  </si>
  <si>
    <t>Management Fee</t>
  </si>
  <si>
    <t>Quarterly fee schedule, basis, offsets</t>
  </si>
  <si>
    <t>Waterfall</t>
  </si>
  <si>
    <t>European whole-fund distribution waterfall and clawback test</t>
  </si>
  <si>
    <t>Performance</t>
  </si>
  <si>
    <t>Cash flows, DPI, RVPI, TVPI, IRR</t>
  </si>
  <si>
    <t>6. Control</t>
  </si>
  <si>
    <t>Bank Reconciliation</t>
  </si>
  <si>
    <t>Cash per bank against cash per books, by quarter</t>
  </si>
  <si>
    <t>Tie-Out Checks</t>
  </si>
  <si>
    <t>Every cross-statement check as a live formula</t>
  </si>
  <si>
    <t>7. Reference</t>
  </si>
  <si>
    <t>Glossary</t>
  </si>
  <si>
    <t>Technical terms used throughout</t>
  </si>
  <si>
    <t/>
  </si>
  <si>
    <t/>
  </si>
  <si>
    <t>Annual Financial Report</t>
  </si>
  <si>
    <t>Fund</t>
  </si>
  <si>
    <t>Entity type</t>
  </si>
  <si>
    <t>Delaware limited partnership</t>
  </si>
  <si>
    <t>General partner</t>
  </si>
  <si>
    <t>Stanmere Capital GP I, LLC</t>
  </si>
  <si>
    <t>Management company</t>
  </si>
  <si>
    <t>Stanmere Capital Management, LLC</t>
  </si>
  <si>
    <t>Period from</t>
  </si>
  <si>
    <t>2019-01-02</t>
  </si>
  <si>
    <t>Period to</t>
  </si>
  <si>
    <t>2030-06-30</t>
  </si>
  <si>
    <t>Basis of presentation</t>
  </si>
  <si>
    <t>Investment company accounting, ASC 946</t>
  </si>
  <si>
    <t>Auditor</t>
  </si>
  <si>
    <t>[Independent registered public accounting firm]</t>
  </si>
  <si>
    <t>Administrator</t>
  </si>
  <si>
    <t>[Fund administrator]</t>
  </si>
  <si>
    <t>Report date</t>
  </si>
  <si>
    <t>Stanmere Capital Partners I, L.P. is a fictional fund created for instructional purposes.</t>
  </si>
  <si>
    <t>Any resemblance to an actual fund, firm or company is coincidental.</t>
  </si>
  <si>
    <t>Blue cells are the economic terms. Formulas across the workbook reference these cells.</t>
  </si>
  <si>
    <t>Term</t>
  </si>
  <si>
    <t>Value</t>
  </si>
  <si>
    <t>Note</t>
  </si>
  <si>
    <t>Total commitments</t>
  </si>
  <si>
    <t>Across three closes</t>
  </si>
  <si>
    <t>GP commitment</t>
  </si>
  <si>
    <t>2.0%; fee-free</t>
  </si>
  <si>
    <t>Initial close</t>
  </si>
  <si>
    <t>Close 1</t>
  </si>
  <si>
    <t>Second close</t>
  </si>
  <si>
    <t>2019-10-01</t>
  </si>
  <si>
    <t>Close 2</t>
  </si>
  <si>
    <t>Final close</t>
  </si>
  <si>
    <t>2020-06-30</t>
  </si>
  <si>
    <t>Close 3 — 18-month offering period</t>
  </si>
  <si>
    <t>Investment period ends</t>
  </si>
  <si>
    <t>2025-06-30</t>
  </si>
  <si>
    <t>5 years from final close</t>
  </si>
  <si>
    <t>Term ends</t>
  </si>
  <si>
    <t>10 years from final close</t>
  </si>
  <si>
    <t>Management fee rate</t>
  </si>
  <si>
    <t>Of commitments during the investment period</t>
  </si>
  <si>
    <t>Management fee offset</t>
  </si>
  <si>
    <t>Of monitoring and transaction fees</t>
  </si>
  <si>
    <t>Preferred return</t>
  </si>
  <si>
    <t>Accrued quarterly on unreturned capital only; unpaid pref does not itself earn a return</t>
  </si>
  <si>
    <t>Carry catch-up</t>
  </si>
  <si>
    <t>100% until the carry side holds 20% of profits</t>
  </si>
  <si>
    <t>Carried interest</t>
  </si>
  <si>
    <t>European whole-fund waterfall</t>
  </si>
  <si>
    <t>Equalization interest</t>
  </si>
  <si>
    <t>Simple, annualized</t>
  </si>
  <si>
    <t>Organizational costs</t>
  </si>
  <si>
    <t>Expensed as incurred, ASC 720-15-25-1</t>
  </si>
  <si>
    <t>Offering costs</t>
  </si>
  <si>
    <t>Charged against partners' capital at the first closing - ASC 946-20-25-5; the fund is not in continuous offering</t>
  </si>
  <si>
    <t>Partners and Commitments</t>
  </si>
  <si>
    <t>Partner</t>
  </si>
  <si>
    <t>Type</t>
  </si>
  <si>
    <t>Commitment</t>
  </si>
  <si>
    <t>% of fund</t>
  </si>
  <si>
    <t>Admitted</t>
  </si>
  <si>
    <t>GP</t>
  </si>
  <si>
    <t>Kelbrook State Retirement System</t>
  </si>
  <si>
    <t>LP</t>
  </si>
  <si>
    <t>Ashfield University Endowment</t>
  </si>
  <si>
    <t>Pellham Mutual Insurance Company</t>
  </si>
  <si>
    <t>Lanternwood Partners, L.P. (fund-of-funds)</t>
  </si>
  <si>
    <t>Ellinwood Family Holdings, LLC</t>
  </si>
  <si>
    <t>Close 3</t>
  </si>
  <si>
    <t>Northmoor Trust Company</t>
  </si>
  <si>
    <t>Total</t>
  </si>
  <si>
    <t>Account no.</t>
  </si>
  <si>
    <t>Account name</t>
  </si>
  <si>
    <t>Statement</t>
  </si>
  <si>
    <t>Normal balance</t>
  </si>
  <si>
    <t>1000</t>
  </si>
  <si>
    <t>Cash and cash equivalents</t>
  </si>
  <si>
    <t>Asset</t>
  </si>
  <si>
    <t>Debit</t>
  </si>
  <si>
    <t>1050</t>
  </si>
  <si>
    <t>Subscriptions receivable</t>
  </si>
  <si>
    <t>1100</t>
  </si>
  <si>
    <t>Investments, at cost</t>
  </si>
  <si>
    <t>1110</t>
  </si>
  <si>
    <t>Unrealized appreciation/(depreciation) on investments</t>
  </si>
  <si>
    <t>1150</t>
  </si>
  <si>
    <t>Investments, at cost - bridge notes</t>
  </si>
  <si>
    <t>Bridge notes to portfolio companies. On conversion the balance is reclassified to 1100 at cost - no cash, no gain or loss.</t>
  </si>
  <si>
    <t>1200</t>
  </si>
  <si>
    <t>Interest and PIK receivable</t>
  </si>
  <si>
    <t>Retired. PIK interest is capitalised into the principal of the Verrick note and is carried in account 1100, so this account holds no balance. Retained so the trial balance, the balance sheet and the cash flow statement keep a line for a fund that does settle interest in cash.</t>
  </si>
  <si>
    <t>1250</t>
  </si>
  <si>
    <t>Prepaid management fee</t>
  </si>
  <si>
    <t>1300</t>
  </si>
  <si>
    <t>Deferred offering costs</t>
  </si>
  <si>
    <t>Not used by Stanmere. Retained so module 1.3 can post the contrasting deferral treatment; it is carried through the trial balance, the balance sheet and the cash flow statement.</t>
  </si>
  <si>
    <t>2000</t>
  </si>
  <si>
    <t>Accounts payable and accrued expenses</t>
  </si>
  <si>
    <t>Liability</t>
  </si>
  <si>
    <t>Credit</t>
  </si>
  <si>
    <t>2100</t>
  </si>
  <si>
    <t>Management fee payable</t>
  </si>
  <si>
    <t>2300</t>
  </si>
  <si>
    <t>Subscription line payable</t>
  </si>
  <si>
    <t>2400</t>
  </si>
  <si>
    <t>Distributions payable</t>
  </si>
  <si>
    <t>3000</t>
  </si>
  <si>
    <t>Partners' capital - contributions</t>
  </si>
  <si>
    <t>Capital</t>
  </si>
  <si>
    <t>Partners' Capital</t>
  </si>
  <si>
    <t>3050</t>
  </si>
  <si>
    <t>Partners' capital - offering costs charged against capital</t>
  </si>
  <si>
    <t>Offering costs charged directly against partners' capital (ASC 946-20-25-5).</t>
  </si>
  <si>
    <t>3100</t>
  </si>
  <si>
    <t>Partners' capital - distributions</t>
  </si>
  <si>
    <t>3900</t>
  </si>
  <si>
    <t>Partners' capital - accumulated results</t>
  </si>
  <si>
    <t>Not used by Stanmere - never posted. Results stay in the income and expense accounts and are not closed to capital, and the cash flow statement's financing section is derived on that basis; a posting to 3900 would be missed there and break the cash tie-out.</t>
  </si>
  <si>
    <t>4000</t>
  </si>
  <si>
    <t>Interest income - PIK</t>
  </si>
  <si>
    <t>Income</t>
  </si>
  <si>
    <t>4010</t>
  </si>
  <si>
    <t>Interest income - other</t>
  </si>
  <si>
    <t>4030</t>
  </si>
  <si>
    <t>Other income - monitoring fees</t>
  </si>
  <si>
    <t>Not used by Stanmere. Monitoring fees are earned by the manager, not by the fund; under the LPA they reduce the management fee the fund owes (account 5010). The fund therefore records no monitoring fee income.</t>
  </si>
  <si>
    <t>5000</t>
  </si>
  <si>
    <t>Management fee</t>
  </si>
  <si>
    <t>Expense</t>
  </si>
  <si>
    <t>5010</t>
  </si>
  <si>
    <t>The 100% offset of monitoring and transaction fees. Dr 2100 / Cr 5010 reduces both the fee payable and the fee expense; the manager then refunds the cash to the fund (Dr 1000 / Cr 2100).</t>
  </si>
  <si>
    <t>5100</t>
  </si>
  <si>
    <t>5110</t>
  </si>
  <si>
    <t>Amortization of deferred offering costs</t>
  </si>
  <si>
    <t>Not used by Stanmere. Retained for the module 1.3 contrast; it is carried through the trial balance and appears as its own line on the statement of operations.</t>
  </si>
  <si>
    <t>5200</t>
  </si>
  <si>
    <t>Professional fees - audit and tax</t>
  </si>
  <si>
    <t>5210</t>
  </si>
  <si>
    <t>Professional fees - legal</t>
  </si>
  <si>
    <t>5300</t>
  </si>
  <si>
    <t>Fund administration fees</t>
  </si>
  <si>
    <t>5400</t>
  </si>
  <si>
    <t>Custody and bank fees</t>
  </si>
  <si>
    <t>5500</t>
  </si>
  <si>
    <t>Interest expense - subscription line</t>
  </si>
  <si>
    <t>5600</t>
  </si>
  <si>
    <t>Other fund expenses</t>
  </si>
  <si>
    <t>6000</t>
  </si>
  <si>
    <t>Net realized gain/(loss) on investments</t>
  </si>
  <si>
    <t>6100</t>
  </si>
  <si>
    <t>Net change in unrealized appreciation/(depreciation)</t>
  </si>
  <si>
    <t>Journal Entries — general ledger</t>
  </si>
  <si>
    <t>Hard-keyed layer 1 of 2. The general ledger. Trial balance, statements and waterfall derive from it.</t>
  </si>
  <si>
    <t>Trans. date</t>
  </si>
  <si>
    <t>Month end</t>
  </si>
  <si>
    <t>Quarter</t>
  </si>
  <si>
    <t>Acct</t>
  </si>
  <si>
    <t>Curriculum module</t>
  </si>
  <si>
    <t>Amount (Dr-Cr)</t>
  </si>
  <si>
    <t>Per#</t>
  </si>
  <si>
    <t>2019Q1</t>
  </si>
  <si>
    <t>2.1 capital calls</t>
  </si>
  <si>
    <t>1.3 org vs offering</t>
  </si>
  <si>
    <t>2.2 management fees</t>
  </si>
  <si>
    <t>4.1 accruals &amp; expenses</t>
  </si>
  <si>
    <t>2019Q2</t>
  </si>
  <si>
    <t>3.1 recording investments</t>
  </si>
  <si>
    <t>2019Q3</t>
  </si>
  <si>
    <t>2019Q4</t>
  </si>
  <si>
    <t>1.2 closes/equalization</t>
  </si>
  <si>
    <t>3.3 fair value marks</t>
  </si>
  <si>
    <t>2020Q1</t>
  </si>
  <si>
    <t>2020Q2</t>
  </si>
  <si>
    <t>2020Q3</t>
  </si>
  <si>
    <t>2020Q4</t>
  </si>
  <si>
    <t>2021Q1</t>
  </si>
  <si>
    <t>3.1 bridge conversion</t>
  </si>
  <si>
    <t>2021Q2</t>
  </si>
  <si>
    <t>2021Q3</t>
  </si>
  <si>
    <t>2021Q4</t>
  </si>
  <si>
    <t>2022Q1</t>
  </si>
  <si>
    <t>2022Q2</t>
  </si>
  <si>
    <t>3.1 PIK capitalisation</t>
  </si>
  <si>
    <t>2022Q3</t>
  </si>
  <si>
    <t>2022Q4</t>
  </si>
  <si>
    <t>2023Q1</t>
  </si>
  <si>
    <t>2023Q2</t>
  </si>
  <si>
    <t>2023Q3</t>
  </si>
  <si>
    <t>2023Q4</t>
  </si>
  <si>
    <t>2024Q1</t>
  </si>
  <si>
    <t>2024Q2</t>
  </si>
  <si>
    <t>2024Q3</t>
  </si>
  <si>
    <t>3.4 realized vs unrealized</t>
  </si>
  <si>
    <t>5.1 distributions</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</si>
  <si>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</si>
  <si>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</si>
  <si>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</si>
  <si>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</si>
  <si>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</si>
  <si>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</si>
  <si>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</si>
  <si>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</si>
  <si>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</si>
  <si>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</si>
  <si>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</si>
  <si>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</si>
  <si>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</si>
  <si>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</si>
  <si>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</si>
  <si>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</si>
  <si>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</si>
  <si>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</si>
  <si>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</si>
  <si>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</si>
  <si>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</si>
  <si>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</si>
  <si>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</si>
  <si>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Total — debits must equal credits</t>
  </si>
  <si>
    <t>Cumulative net balance by account at each year end. SUMIFS over Journal Entries.</t>
  </si>
  <si>
    <t>Normal</t>
  </si>
  <si>
    <t>FY2019</t>
  </si>
  <si>
    <t>FY2020</t>
  </si>
  <si>
    <t>FY2021</t>
  </si>
  <si>
    <t>FY2022</t>
  </si>
  <si>
    <t>FY2023</t>
  </si>
  <si>
    <t>FY2024</t>
  </si>
  <si>
    <t>FY2025</t>
  </si>
  <si>
    <t>FY2026</t>
  </si>
  <si>
    <t>FY2027</t>
  </si>
  <si>
    <t>FY2028</t>
  </si>
  <si>
    <t>FY2029</t>
  </si>
  <si>
    <t>FY2030</t>
  </si>
  <si>
    <t>Dr</t>
  </si>
  <si>
    <t>Cr</t>
  </si>
  <si>
    <t>Total — must be zero</t>
  </si>
  <si>
    <t>Statement of Assets and Liabilities</t>
  </si>
  <si>
    <t>ASC 946 presentation. Columns are cumulative at each year end. Every trial balance account reaches a line on this statement, so nothing can go missing.</t>
  </si>
  <si>
    <t>(US dollars)</t>
  </si>
  <si>
    <t>ASSETS</t>
  </si>
  <si>
    <t>Investments, at fair value</t>
  </si>
  <si>
    <t>Total assets</t>
  </si>
  <si>
    <t>LIABILITIES</t>
  </si>
  <si>
    <t>Total liabilities</t>
  </si>
  <si>
    <t>NET ASSETS</t>
  </si>
  <si>
    <t>Movement in each fiscal year, plus inception to date.</t>
  </si>
  <si>
    <t>Inception to date</t>
  </si>
  <si>
    <t>INVESTMENT INCOME</t>
  </si>
  <si>
    <t>Interest income — PIK</t>
  </si>
  <si>
    <t>Interest income — other</t>
  </si>
  <si>
    <t>Other income — monitoring fees</t>
  </si>
  <si>
    <t>Total investment income</t>
  </si>
  <si>
    <t>EXPENSES</t>
  </si>
  <si>
    <t>Less: management fee offset</t>
  </si>
  <si>
    <t>Professional fees — audit and tax</t>
  </si>
  <si>
    <t>Professional fees — legal</t>
  </si>
  <si>
    <t>Interest expense — subscription line</t>
  </si>
  <si>
    <t>Total expenses</t>
  </si>
  <si>
    <t>NET INVESTMENT INCOME / (LOSS)</t>
  </si>
  <si>
    <t>REALIZED AND UNREALIZED</t>
  </si>
  <si>
    <t>Net realized gain / (loss) on investments</t>
  </si>
  <si>
    <t>Net change in unrealized appreciation / (depreciation)</t>
  </si>
  <si>
    <t>NET INCREASE / (DECREASE) IN NET ASSETS FROM OPERATIONS</t>
  </si>
  <si>
    <t>Statement of Changes in Partners' Capital</t>
  </si>
  <si>
    <t>Partners' capital, beginning of year</t>
  </si>
  <si>
    <t>Capital contributions</t>
  </si>
  <si>
    <t>Offering costs charged against capital</t>
  </si>
  <si>
    <t>Capital distributions</t>
  </si>
  <si>
    <t>Net increase / (decrease) from operations</t>
  </si>
  <si>
    <t>Partners' capital, end of year</t>
  </si>
  <si>
    <t>Reconciliation — Balance Sheet net assets</t>
  </si>
  <si>
    <t>Difference — must be zero</t>
  </si>
  <si>
    <t>Statement of Cash Flows</t>
  </si>
  <si>
    <t>Indirect method. Under ASC 946 purchases and sales of investments are operating activities and are presented gross. Non-cash items are removed above, so the statement ties to cash in every year.</t>
  </si>
  <si>
    <t>CASH FLOWS FROM OPERATING ACTIVITIES</t>
  </si>
  <si>
    <t>Net increase / (decrease) in net assets from operations</t>
  </si>
  <si>
    <t>Adjustments to reconcile to net cash provided by / (used in) operating activities:</t>
  </si>
  <si>
    <t xml:space="preserve">    Net realized (gain) / loss on investments</t>
  </si>
  <si>
    <t xml:space="preserve">    Net change in unrealized (appreciation) / depreciation</t>
  </si>
  <si>
    <t xml:space="preserve">    PIK interest income capitalised into the note principal (non-cash)</t>
  </si>
  <si>
    <t xml:space="preserve">    Purchases of investments, at cost</t>
  </si>
  <si>
    <t xml:space="preserve">    Proceeds from disposition of investments</t>
  </si>
  <si>
    <t xml:space="preserve">    (Increase) / decrease in interest receivable</t>
  </si>
  <si>
    <t xml:space="preserve">    (Increase) / decrease in subscriptions receivable and prepaid expenses</t>
  </si>
  <si>
    <t xml:space="preserve">    (Increase) / decrease in deferred offering costs</t>
  </si>
  <si>
    <t xml:space="preserve">    Increase / (decrease) in payables and accrued liabilities</t>
  </si>
  <si>
    <t>Net cash provided by / (used in) operating activities</t>
  </si>
  <si>
    <t>CASH FLOWS FROM FINANCING ACTIVITIES</t>
  </si>
  <si>
    <t xml:space="preserve">    Capital contributions</t>
  </si>
  <si>
    <t xml:space="preserve">    Offering costs paid from capital</t>
  </si>
  <si>
    <t xml:space="preserve">    Capital distributions</t>
  </si>
  <si>
    <t>Net cash provided by / (used in) financing activities</t>
  </si>
  <si>
    <t>Net increase / (decrease) in cash</t>
  </si>
  <si>
    <t>Cash, beginning of year</t>
  </si>
  <si>
    <t>Cash, end of year</t>
  </si>
  <si>
    <t>Cash per Trial Balance - difference must be zero</t>
  </si>
  <si>
    <t>SUPPLEMENTAL DISCLOSURE OF NON-CASH INVESTING ACTIVITY</t>
  </si>
  <si>
    <t xml:space="preserve">    Bridge note converted to equity - reclassification only, no cash, no gain or loss</t>
  </si>
  <si>
    <t>Required supplementary information under ASC 946-205-50, presented for the limited partner class. Ratios are to average LP net assets. The general partner and the carried interest vehicle are excluded: they are not a class of limited partner interest and their inclusion distorts every ratio.</t>
  </si>
  <si>
    <t>(US dollars / ratios)</t>
  </si>
  <si>
    <t>LP net assets, beginning of year</t>
  </si>
  <si>
    <t>LP net assets, end of year</t>
  </si>
  <si>
    <t>Average LP net assets</t>
  </si>
  <si>
    <t>RATIOS TO AVERAGE LP NET ASSETS</t>
  </si>
  <si>
    <t>Total expenses, excluding carried interest</t>
  </si>
  <si>
    <t>Carried interest (assumed-liquidation accrual)</t>
  </si>
  <si>
    <t>Total expenses, including carried interest</t>
  </si>
  <si>
    <t>Net investment income / (loss)</t>
  </si>
  <si>
    <t>TOTAL RETURN</t>
  </si>
  <si>
    <t>Total return before carried interest</t>
  </si>
  <si>
    <t>Total return after carried interest</t>
  </si>
  <si>
    <t>INTERNAL RATE OF RETURN</t>
  </si>
  <si>
    <t>IRR since inception, annualized (LP, net of all fees and carried interest)</t>
  </si>
  <si>
    <t>Note - the LP class excludes the general partner (fee-free, 2.0% commitment) and Stanmere Carry I, LLC. Expenses, carried interest and results are the amounts allocated to the six limited partners only.</t>
  </si>
  <si>
    <t>Note - carried interest is the ASC 946 assumed-liquidation accrual: the carry that would be payable if the fund liquidated at net asset value on the reporting date. It reverses when net asset value falls, which is why some years show a credit.</t>
  </si>
  <si>
    <t>Note - in the wind-down years the average net asset base is small relative to the results still running through it, so FY2029 and FY2030 ratios and total returns are arithmetically correct but not comparable with a full investment year. FY2030 covers only the six months to the 30 June 2030 term end. The since-inception IRR on row 20 is the measure that stays meaningful across the whole life of the fund.</t>
  </si>
  <si>
    <t>LP CASH FLOWS SUPPORTING THE SINCE-INCEPTION IRR (quarterly; the closing year holds LP net assets as a terminal value)</t>
  </si>
  <si>
    <t>Quarterly IRR</t>
  </si>
  <si>
    <t>Schedule of Investments — 31 December 2026</t>
  </si>
  <si>
    <t>Fiscal year end mid-life, when the portfolio is still unrealized. All positions are Level 3.</t>
  </si>
  <si>
    <t>Portfolio company</t>
  </si>
  <si>
    <t>Industry</t>
  </si>
  <si>
    <t>Valuation technique</t>
  </si>
  <si>
    <t>Instrument / stake</t>
  </si>
  <si>
    <t>Cost</t>
  </si>
  <si>
    <t>Fair value</t>
  </si>
  <si>
    <t>Unrealized</t>
  </si>
  <si>
    <t>% of net assets</t>
  </si>
  <si>
    <t>Yarrowfield Analytics, Inc.</t>
  </si>
  <si>
    <t>Software - supply chain analytics</t>
  </si>
  <si>
    <t>Market approach - revenue multiple</t>
  </si>
  <si>
    <t>18.0% Series C preferred</t>
  </si>
  <si>
    <t>Tallow Creek Dental Group, LLC</t>
  </si>
  <si>
    <t>Healthcare services - dental support organization</t>
  </si>
  <si>
    <t>Income approach - discounted cash flow</t>
  </si>
  <si>
    <t>92.0% membership units</t>
  </si>
  <si>
    <t>Ostlund Freightways, Inc.</t>
  </si>
  <si>
    <t>Transportation and logistics</t>
  </si>
  <si>
    <t>Market approach - EBITDA multiple</t>
  </si>
  <si>
    <t>78.0% common equity</t>
  </si>
  <si>
    <t>Verrick Power Services, LLC</t>
  </si>
  <si>
    <t>Energy services - grid maintenance</t>
  </si>
  <si>
    <t>Market approach - EBITDA multiple / recent transaction</t>
  </si>
  <si>
    <t>Senior PIK note (principal including capitalised PIK) + 34.0% equity</t>
  </si>
  <si>
    <t>Total investments</t>
  </si>
  <si>
    <t>Partner allocations by quarter</t>
  </si>
  <si>
    <t>Hard-keyed layer 2 of 2. Regenerate this when the ledger changes - it does not update automatically. Column F is the partner class used by the Financial Highlights LP-class ratios.</t>
  </si>
  <si>
    <t>Component</t>
  </si>
  <si>
    <t>Amount</t>
  </si>
  <si>
    <t>Class</t>
  </si>
  <si>
    <t>Offering costs charged to capital</t>
  </si>
  <si>
    <t>Equalization</t>
  </si>
  <si>
    <t>Change in unrealized</t>
  </si>
  <si>
    <t>Stanmere Carry I, LLC</t>
  </si>
  <si>
    <t>Carry</t>
  </si>
  <si>
    <t>Investment income</t>
  </si>
  <si>
    <t>Distributions</t>
  </si>
  <si>
    <t>Realized gain/(loss)</t>
  </si>
  <si>
    <t>Inception to date. Total column ties to net assets on the Balance Sheet.</t>
  </si>
  <si>
    <t>LP1</t>
  </si>
  <si>
    <t>LP2</t>
  </si>
  <si>
    <t>LP3</t>
  </si>
  <si>
    <t>LP4</t>
  </si>
  <si>
    <t>LP5</t>
  </si>
  <si>
    <t>LP6</t>
  </si>
  <si>
    <t>Carry vehicle</t>
  </si>
  <si>
    <t>Investor name</t>
  </si>
  <si>
    <t>Equalization (principal is already in capital contributions, row 9; the 8% interest is settled between partners in cash, outside capital - memo row 22)</t>
  </si>
  <si>
    <t>Ending capital account</t>
  </si>
  <si>
    <t>Unfunded commitment</t>
  </si>
  <si>
    <t>Investor TVPI - total value / paid-in capital (ILPA: distributions plus ending capital, over row 9 contributions)</t>
  </si>
  <si>
    <t>Memo: equalization interest paid / (received) - 8% simple, settled in cash between partners; not part of any capital account</t>
  </si>
  <si>
    <t>Profit after equalization interest / commitment (distributions + ending capital - contributions - interest paid + interest received). Total column: spread across the six LPs (max - min)</t>
  </si>
  <si>
    <t>Capital Account Statement</t>
  </si>
  <si>
    <t>Change the investor name in the yellow cell to reprint this statement for any partner.</t>
  </si>
  <si>
    <t>Investor</t>
  </si>
  <si>
    <t>← type any investor name from the list on the right</t>
  </si>
  <si>
    <t>Period</t>
  </si>
  <si>
    <t>Inception to 30 June 2030</t>
  </si>
  <si>
    <t>This investor</t>
  </si>
  <si>
    <t>Total fund</t>
  </si>
  <si>
    <t>Partners' capital, beginning</t>
  </si>
  <si>
    <t>Partners' capital, ending</t>
  </si>
  <si>
    <t>Management Fee Schedule</t>
  </si>
  <si>
    <t>Billed quarterly in advance. The GP commitment is fee-free. Monitoring fees offset 100%.</t>
  </si>
  <si>
    <t>Basis</t>
  </si>
  <si>
    <t>Fee base</t>
  </si>
  <si>
    <t>Rate p.a.</t>
  </si>
  <si>
    <t>Gross fee</t>
  </si>
  <si>
    <t>Offset</t>
  </si>
  <si>
    <t>Net fee</t>
  </si>
  <si>
    <t>Commitments</t>
  </si>
  <si>
    <t>Invested cost</t>
  </si>
  <si>
    <t>Distribution Waterfall — European (whole-fund)</t>
  </si>
  <si>
    <t>The preferred return accrues on UNRETURNED capital only and stops accruing as capital is returned.</t>
  </si>
  <si>
    <t>Quarterly pref rate:</t>
  </si>
  <si>
    <t>Contributions</t>
  </si>
  <si>
    <t>Unreturned b/f</t>
  </si>
  <si>
    <t>Pref accrued</t>
  </si>
  <si>
    <t>Pref bal b/f</t>
  </si>
  <si>
    <t>T1 return of capital</t>
  </si>
  <si>
    <t>T2 preferred</t>
  </si>
  <si>
    <t>Cum pref paid</t>
  </si>
  <si>
    <t>Catch-up target</t>
  </si>
  <si>
    <t>T3 Carry catch-up</t>
  </si>
  <si>
    <t>T4 80% partners</t>
  </si>
  <si>
    <t>T4 20% carry</t>
  </si>
  <si>
    <t>Unreturned c/f</t>
  </si>
  <si>
    <t>Pref bal c/f</t>
  </si>
  <si>
    <t>Total to partners (T1 + T2 + 80% of T4)</t>
  </si>
  <si>
    <t>Total carried interest to Stanmere Carry I, LLC</t>
  </si>
  <si>
    <t>Check — partners plus carry equals total distributions</t>
  </si>
  <si>
    <t>CLAWBACK TEST AT LIQUIDATION</t>
  </si>
  <si>
    <t>Cumulative profit (distributions less contributions)</t>
  </si>
  <si>
    <t>Maximum carry at 20% of profit</t>
  </si>
  <si>
    <t>Carry actually received</t>
  </si>
  <si>
    <t>Clawback due to partners (if positive)</t>
  </si>
  <si>
    <t>Performance — partner cash flows and returns</t>
  </si>
  <si>
    <t>Net cash flow</t>
  </si>
  <si>
    <t>Metric</t>
  </si>
  <si>
    <t>Total contributions</t>
  </si>
  <si>
    <t>Total distributions</t>
  </si>
  <si>
    <t>Ending net assets</t>
  </si>
  <si>
    <t>DPI — distributions to paid-in</t>
  </si>
  <si>
    <t>RVPI — residual value to paid-in</t>
  </si>
  <si>
    <t>TVPI — total value to paid-in</t>
  </si>
  <si>
    <t>Annualized IRR</t>
  </si>
  <si>
    <t>Percent of commitments called</t>
  </si>
  <si>
    <t>Cash per books rolled forward from the general ledger, reconciled to the bank statement each quarter.</t>
  </si>
  <si>
    <t>Receipts</t>
  </si>
  <si>
    <t>Payments</t>
  </si>
  <si>
    <t>Cash per books</t>
  </si>
  <si>
    <t>Reconciliation at 30 June 2030</t>
  </si>
  <si>
    <t>Balance per bank statement</t>
  </si>
  <si>
    <t>Add: deposits in transit</t>
  </si>
  <si>
    <t>Less: outstanding cheques</t>
  </si>
  <si>
    <t>Add / (less): other reconciling items</t>
  </si>
  <si>
    <t>Adjusted balance per bank</t>
  </si>
  <si>
    <t>Balance per books (general ledger)</t>
  </si>
  <si>
    <t>Variance — must be zero</t>
  </si>
  <si>
    <t>This case has no timing differences, so the reconciling lines are zero.</t>
  </si>
  <si>
    <t>Enter a deposit in transit or an outstanding cheque to see the variance move.</t>
  </si>
  <si>
    <t>Definition</t>
  </si>
  <si>
    <t>NAV</t>
  </si>
  <si>
    <t>Net assets after recognized liabilities. Specify whether fund, class or investor level.</t>
  </si>
  <si>
    <t>Capital call / drawdown</t>
  </si>
  <si>
    <t>Notice and funding against an investor's commitment. Distinguish the notice, the receivable and the cash receipt.</t>
  </si>
  <si>
    <t>Distribution</t>
  </si>
  <si>
    <t>Cash or value returned to partners. Separately identify return of capital, gain, recallable amount and tax distribution.</t>
  </si>
  <si>
    <t>Recallable distribution</t>
  </si>
  <si>
    <t>A distribution the fund may call again under the partnership agreement. Tracked separately in the commitment ledger.</t>
  </si>
  <si>
    <t>The carry side’s share of profit under the waterfall, paid to Stanmere Carry I, LLC, the special limited partner. Distinct from a management fee and from a general P&amp;L allocation. Between distribution dates ASC 946 requires the capital accounts to carry the carry that would be payable if the fund liquidated at net asset value on the reporting date - the assumed-liquidation accrual, which reverses if net asset value falls.</t>
  </si>
  <si>
    <t>Preferred return / hurdle</t>
  </si>
  <si>
    <t>Threshold return to partners before carry. Accrues on unreturned capital; hard or soft, compounding or simple, per the governing documents.</t>
  </si>
  <si>
    <t>Catch-up</t>
  </si>
  <si>
    <t>The tier that brings the carry side up to its full carry percentage after the preferred return is paid.</t>
  </si>
  <si>
    <t>Clawback</t>
  </si>
  <si>
    <t>Obligation to return carry if the cumulative carry paid to the carry side exceeds its share of cumulative profit at liquidation.</t>
  </si>
  <si>
    <t>High-water mark</t>
  </si>
  <si>
    <t>Prior performance peak used to prevent charging performance fees twice on the same gains.</t>
  </si>
  <si>
    <t>PCAP</t>
  </si>
  <si>
    <t>Partner capital account statement. Opening plus activity plus allocations must tie to closing capital and to the general ledger.</t>
  </si>
  <si>
    <t>True-up when partners are admitted at a later close, so that as to capital contributions all partners stand as if admitted at inception: the later partner funds its share of earlier capital calls (recorded in its capital contributions) and pays interest to the earlier partners. In this case the interest (8% simple) is settled between partners in cash and changes no capital account; earlier fees, expenses and offering costs are not re-allocated.</t>
  </si>
  <si>
    <t>ASC 946</t>
  </si>
  <si>
    <t>US GAAP for investment companies. Investments at fair value; portfolio companies are not consolidated.</t>
  </si>
  <si>
    <t>Costs of forming the fund. Expensed as incurred under ASC 720-15-25-1.</t>
  </si>
  <si>
    <t>Costs of offering interests. Charged directly against partners' capital as incurred (ASC 946-20-25-5). Deferral and 12-month amortization apply only to a fund in continuous offering - one whose interests qualified new investors may subscribe for on any business day, or on a series of specified business days over a continuous period (AICPA guidance for investment partnerships; the accounting is at TQA 6910.23). Stanmere is not such a fund.</t>
  </si>
  <si>
    <t>PIK interest</t>
  </si>
  <si>
    <t>Interest paid in kind - accrued and added to the principal of the note rather than settled in cash. Because it becomes principal, it is capitalised into the cost of the investment (Dr investment / Cr PIK interest income), not carried as a separate receivable, and the fair value of the note moves with it.</t>
  </si>
  <si>
    <t>TVPI / DPI / RVPI</t>
  </si>
  <si>
    <t>Total value, distributed value and residual value, each divided by paid-in capital.</t>
  </si>
  <si>
    <t>Level 3</t>
  </si>
  <si>
    <t>Fair value measured using significant unobservable inputs. All positions in this case are Level 3.</t>
  </si>
  <si>
    <t>Monitoring, transaction and similar fees the manager receives from portfolio companies, credited against the management fee the fund owes. The fee belongs to the manager, so the fund records no income - only the reduction in its own fee (Dr fee payable / Cr fee offset).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</si>
  <si>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</si>
  <si>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</si>
  <si>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</si>
  <si>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</si>
  <si>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</si>
  <si>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</si>
  <si>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</si>
  <si>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</si>
  <si>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</si>
  <si>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</si>
  <si>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</si>
  <si>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</si>
  <si>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</si>
  <si>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</si>
  <si>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</si>
  <si>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</si>
  <si>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</si>
  <si>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</si>
  <si>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</si>
  <si>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</si>
  <si>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</si>
  <si>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</si>
  <si>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</si>
  <si>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</si>
  <si>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</si>
  <si>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</si>
  <si>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</si>
  <si>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</si>
  <si>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</si>
  <si>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</si>
  <si>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</si>
  <si>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</si>
  <si>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</si>
  <si>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</si>
  <si>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</si>
  <si>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</si>
  <si>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</si>
  <si>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</si>
  <si>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</si>
  <si>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</si>
  <si>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</si>
  <si>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</si>
  <si>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</si>
  <si>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</si>
  <si>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</si>
  <si>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</si>
  <si>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</si>
  <si>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</si>
  <si>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Every check is a live formula comparing two independently derived totals. Checks 1 to 20 allow no tolerance: any non-zero difference is a real break. Checks 21 and 22 test reasonableness within a stated tolerance (a percentage-point spread), disclosed in each check's own description; PASS there means within tolerance, not a bit-for-bit tie.</t>
  </si>
  <si>
    <t>Check</t>
  </si>
  <si>
    <t>Value A</t>
  </si>
  <si>
    <t>Value B</t>
  </si>
  <si>
    <t>Difference</t>
  </si>
  <si>
    <t>Result</t>
  </si>
  <si>
    <t>Trial balance: net of all accounts is zero — ALL years</t>
  </si>
  <si>
    <t>Balance sheet: total assets less liabilities equals net assets</t>
  </si>
  <si>
    <t>Partners' capital roll-forward ties to the balance sheet</t>
  </si>
  <si>
    <t>Cash flow statement ties to cash per trial balance — ALL years</t>
  </si>
  <si>
    <t>Investor allocations total ties to net assets</t>
  </si>
  <si>
    <t>Investor contributions tie to the general ledger</t>
  </si>
  <si>
    <t>Investor distributions tie to the general ledger</t>
  </si>
  <si>
    <t>Waterfall: partners plus carry equals total distributions</t>
  </si>
  <si>
    <t>Waterfall contributions tie to the general ledger</t>
  </si>
  <si>
    <t>Schedule of Investments at 31 Dec 2026 ties to the balance sheet</t>
  </si>
  <si>
    <t>Management fee schedule ties to the general ledger</t>
  </si>
  <si>
    <t>Bank reconciliation variance is zero</t>
  </si>
  <si>
    <t>Commitments on Partners tab equal the fund term</t>
  </si>
  <si>
    <t>Allocation control — contributions allocated equal the ledger</t>
  </si>
  <si>
    <t>Allocation control — offering costs allocated equal the ledger</t>
  </si>
  <si>
    <t>Allocation control — distributions allocated equal the ledger</t>
  </si>
  <si>
    <t>Allocation control — equalization nets to zero across partners</t>
  </si>
  <si>
    <t>Allocation control — carried interest reallocation nets to zero</t>
  </si>
  <si>
    <t>Allocation control — results allocated equal the statement of operations</t>
  </si>
  <si>
    <t>Investments fully realized at term end (including bridge notes)</t>
  </si>
  <si>
    <t>Per partner - contributions plus equalization equal commitment share x paid-in (equalization principal not double-counted); count of partners outside 8% x 1.5 years x commitment</t>
  </si>
  <si>
    <t>LPs on identical terms - profit after equalization interest / commitment within 3 percentage points; count of breaches (spread on Investor Allocations J23)</t>
  </si>
  <si>
    <t>ALL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</si>
</sst>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quot;-&quot;"/>
    <numFmt numFmtId="165" formatCode="0.0%"/>
    <numFmt numFmtId="166" formatCode="yyyy\-mm\-dd"/>
    <numFmt numFmtId="167" formatCode="\$#,##0.00;\(\$#,##0.00\);&quot;-&quot;"/>
    <numFmt numFmtId="168" formatCode="0.00&quot;x&quot;"/>
    <numFmt numFmtId="169" formatCode="0.0000%"/>
    <numFmt numFmtId="170" formatCode="#,##0;\-#,##0;&quot;-&quot;"/>
    <numFmt numFmtId="171" formatCode=";;;"/>
  </numFmts>
  <fonts count="22" x14ac:knownFonts="1">
    <font>
      <sz val="11"/>
      <color theme="1"/>
      <name val="Calibri"/>
      <family val="2"/>
      <scheme val="minor"/>
    </font>
    <font>
      <b/>
      <sz val="16"/>
      <color rgb="FF1F4E3D"/>
      <name val="Arial"/>
    </font>
    <font>
      <i/>
      <sz val="10"/>
      <color rgb="FF6B6B6B"/>
      <name val="Arial"/>
    </font>
    <font>
      <b/>
      <sz val="10"/>
      <color rgb="FF1F4E3D"/>
      <name val="Arial"/>
    </font>
    <font>
      <sz val="10"/>
      <name val="Arial"/>
    </font>
    <font>
      <b/>
      <sz val="11"/>
      <color rgb="FFFFFFFF"/>
      <name val="Arial"/>
    </font>
    <font>
      <b/>
      <sz val="11"/>
      <color rgb="FF1F4E3D"/>
      <name val="Arial"/>
    </font>
    <font>
      <b/>
      <sz val="11"/>
      <name val="Arial"/>
    </font>
    <font>
      <sz val="11"/>
      <name val="Arial"/>
    </font>
    <font>
      <b/>
      <sz val="14"/>
      <color rgb="FF1F4E3D"/>
      <name val="Arial"/>
    </font>
    <font>
      <i/>
      <sz val="9"/>
      <color rgb="FF6B6B6B"/>
      <name val="Arial"/>
    </font>
    <font>
      <sz val="11"/>
      <color rgb="FF0000FF"/>
      <name val="Arial"/>
    </font>
    <font>
      <sz val="9"/>
      <color rgb="FF6B6B6B"/>
      <name val="Arial"/>
    </font>
    <font>
      <sz val="8"/>
      <color rgb="FFAAAAAA"/>
      <name val="Arial"/>
    </font>
    <font>
      <b/>
      <sz val="11"/>
      <name val="Arial"/>
    </font>
    <font>
      <sz val="11"/>
      <color rgb="FF008000"/>
      <name val="Arial"/>
    </font>
    <font>
      <i/>
      <sz val="11"/>
      <name val="Arial"/>
    </font>
    <font>
      <sz val="8.5"/>
      <name val="Arial"/>
    </font>
    <font>
      <b/>
      <sz val="11"/>
      <color rgb="FF0000FF"/>
      <name val="Arial"/>
    </font>
    <font>
      <i/>
      <sz val="9"/>
      <name val="Arial"/>
    </font>
    <font>
      <sz val="11"/>
      <name val="Arial"/>
      <family val="2"/>
    </font>
    <font>
      <b/>
      <sz val="11"/>
      <name val="Arial"/>
      <family val="2"/>
    </font>
  </fonts>
  <fills count="4">
    <fill>
      <patternFill patternType="none"/>
    </fill>
    <fill>
      <patternFill patternType="gray125"/>
    </fill>
    <fill>
      <patternFill patternType="solid">
        <fgColor rgb="FF1F4E3D"/>
      </patternFill>
    </fill>
    <fill>
      <patternFill patternType="solid">
        <fgColor rgb="FFFFF3C4"/>
      </patternFill>
    </fill>
  </fills>
  <borders count="1">
    <border>
      <left/>
      <right/>
      <top/>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wrapText="1"/>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164" fontId="11" fillId="0" borderId="0" xfId="0" applyNumberFormat="1" applyFont="1"/>
    <xf numFmtId="0" fontId="12" fillId="0" borderId="0" xfId="0" applyFont="1"/>
    <xf numFmtId="165" fontId="11" fillId="0" borderId="0" xfId="0" applyNumberFormat="1" applyFont="1"/>
    <xf numFmtId="165" fontId="8" fillId="0" borderId="0" xfId="0" applyNumberFormat="1" applyFont="1"/>
    <xf numFmtId="164" fontId="7" fillId="0" borderId="0" xfId="0" applyNumberFormat="1" applyFont="1"/>
    <xf numFmtId="165" fontId="7" fillId="0" borderId="0" xfId="0" applyNumberFormat="1" applyFont="1"/>
    <xf numFmtId="166" fontId="11" fillId="0" borderId="0" xfId="0" applyNumberFormat="1" applyFont="1"/>
    <xf numFmtId="167" fontId="11" fillId="0" borderId="0" xfId="0" applyNumberFormat="1" applyFont="1"/>
    <xf numFmtId="0" fontId="13" fillId="0" borderId="0" xfId="0" applyFont="1"/>
    <xf numFmtId="167" fontId="7" fillId="0" borderId="0" xfId="0" applyNumberFormat="1" applyFont="1"/>
    <xf numFmtId="167" fontId="8" fillId="0" borderId="0" xfId="0" applyNumberFormat="1" applyFont="1"/>
    <xf numFmtId="164" fontId="8" fillId="0" borderId="0" xfId="0" applyNumberFormat="1" applyFont="1"/>
    <xf numFmtId="0" fontId="14" fillId="0" borderId="0" xfId="0" applyFont="1"/>
    <xf numFmtId="164" fontId="15" fillId="0" borderId="0" xfId="0" applyNumberFormat="1" applyFont="1"/>
    <xf numFmtId="0" fontId="16" fillId="0" borderId="0" xfId="0" applyFont="1"/>
    <xf numFmtId="10" fontId="8" fillId="0" borderId="0" xfId="0" applyNumberFormat="1" applyFont="1"/>
    <xf numFmtId="165" fontId="15" fillId="0" borderId="0" xfId="0" applyNumberFormat="1" applyFont="1"/>
    <xf numFmtId="0" fontId="17" fillId="0" borderId="0" xfId="0" applyFont="1" applyAlignment="1">
      <alignment vertical="top" wrapText="1"/>
    </xf>
    <xf numFmtId="0" fontId="8" fillId="0" borderId="0" xfId="0" applyFont="1" applyAlignment="1">
      <alignment vertical="center" wrapText="1"/>
    </xf>
    <xf numFmtId="168" fontId="8" fillId="0" borderId="0" xfId="0" applyNumberFormat="1" applyFont="1"/>
    <xf numFmtId="0" fontId="18" fillId="3" borderId="0" xfId="0" applyFont="1" applyFill="1"/>
    <xf numFmtId="0" fontId="19" fillId="0" borderId="0" xfId="0" applyFont="1"/>
    <xf numFmtId="169" fontId="8" fillId="0" borderId="0" xfId="0" applyNumberFormat="1" applyFont="1"/>
    <xf numFmtId="167" fontId="15" fillId="0" borderId="0" xfId="0" applyNumberFormat="1" applyFont="1"/>
    <xf numFmtId="0" fontId="7" fillId="0" borderId="0" xfId="0" applyFont="1" applyAlignment="1">
      <alignment horizontal="center"/>
    </xf>
    <xf numFmtId="0" fontId="0" fillId="0" borderId="0" xfId="0" quotePrefix="1"/>
    <xf numFmtId="167" fontId="0" fillId="0" borderId="0" xfId="0" applyNumberFormat="1"/>
    <xf numFmtId="10" fontId="0" fillId="0" borderId="0" xfId="0" applyNumberFormat="1"/>
    <xf numFmtId="170" fontId="15" fillId="0" borderId="0" xfId="0" applyNumberFormat="1" applyFont="1"/>
    <xf numFmtId="170" fontId="8" fillId="0" borderId="0" xfId="0" applyNumberFormat="1" applyFont="1"/>
    <xf numFmtId="0" fontId="20" fillId="0" borderId="0" xfId="0" applyFont="1"/>
    <xf numFmtId="0" fontId="21" fillId="0" borderId="0" xfId="0" applyFont="1" applyAlignment="1">
      <alignment horizontal="center"/>
    </xf>
    <xf numFmtId="0" fontId="21" fillId="0" borderId="0" xfId="0" applyFont="1"/>
    <xf numFmtId="4" fontId="8" fillId="0" borderId="0" xfId="0" applyNumberFormat="1" applyFont="1"/>
    <xf applyNumberFormat="1" numFmtId="171" fontId="19" fillId="0" borderId="0" xfId="0" applyFont="1"/>
    <xf numFmtId="171" fontId="8"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
  <sheetViews>
    <sheetView tabSelected="1" workbookViewId="0"/>
  </sheetViews>
  <sheetFormatPr defaultRowHeight="15" x14ac:dyDescent="0.25"/>
  <cols>
    <col min="1" max="1" width="26" customWidth="1"/>
    <col min="2" max="2" width="34" customWidth="1"/>
    <col min="3" max="3" width="62" customWidth="1"/>
  </cols>
  <sheetData>
    <row r="1" spans="1:1" ht="20.25" customHeight="1" x14ac:dyDescent="0.3">
      <c r="A1" s="1" t="s">
        <v>0</v>
      </c>
    </row>
    <row r="2" spans="1:1" x14ac:dyDescent="0.25">
      <c r="A2" s="2" t="s">
        <v>1</v>
      </c>
    </row>
    <row r="4" spans="1:1" x14ac:dyDescent="0.25">
      <c r="A4" s="3" t="s">
        <v>2</v>
      </c>
    </row>
    <row r="5" spans="1:1" x14ac:dyDescent="0.25">
      <c r="A5" s="4" t="s">
        <v>3</v>
      </c>
    </row>
    <row r="6" spans="1:1" x14ac:dyDescent="0.25">
      <c r="A6" s="4"/>
    </row>
    <row r="7" spans="1:1" x14ac:dyDescent="0.25">
      <c r="A7" s="3" t="s">
        <v>4</v>
      </c>
    </row>
    <row r="8" spans="1:1" x14ac:dyDescent="0.25">
      <c r="A8" s="4" t="s">
        <v>5</v>
      </c>
    </row>
    <row r="9" spans="1:1" x14ac:dyDescent="0.25">
      <c r="A9" s="4" t="s">
        <v>6</v>
      </c>
    </row>
    <row r="10" spans="1:1" x14ac:dyDescent="0.25">
      <c r="A10" s="4" t="s">
        <v>7</v>
      </c>
    </row>
    <row r="11" spans="1:1" x14ac:dyDescent="0.25">
      <c r="A11" s="4" t="s">
        <v>8</v>
      </c>
    </row>
    <row r="12" spans="1:1" x14ac:dyDescent="0.25">
      <c r="A12" s="4"/>
    </row>
    <row r="13" spans="1:1" x14ac:dyDescent="0.25">
      <c r="A13" s="4" t="s">
        <v>9</v>
      </c>
    </row>
    <row r="14" spans="1:1" x14ac:dyDescent="0.25">
      <c r="A14" s="4" t="s">
        <v>10</v>
      </c>
    </row>
    <row r="15" spans="1:1" x14ac:dyDescent="0.25">
      <c r="A15" s="4" t="s">
        <v>11</v>
      </c>
    </row>
    <row r="16" spans="1:1" x14ac:dyDescent="0.25">
      <c r="A16" s="4"/>
    </row>
    <row r="17" spans="1:3" x14ac:dyDescent="0.25">
      <c r="A17" s="3" t="s">
        <v>12</v>
      </c>
    </row>
    <row r="19" spans="1:3" x14ac:dyDescent="0.25">
      <c r="A19" s="5" t="s">
        <v>13</v>
      </c>
      <c r="B19" s="5" t="s">
        <v>14</v>
      </c>
      <c r="C19" s="5" t="s">
        <v>15</v>
      </c>
    </row>
    <row r="20" spans="1:3" x14ac:dyDescent="0.25">
      <c r="A20" s="6" t="s">
        <v>16</v>
      </c>
      <c r="B20" s="7" t="s">
        <v>17</v>
      </c>
      <c r="C20" s="4" t="s">
        <v>18</v>
      </c>
    </row>
    <row r="21" spans="1:3" x14ac:dyDescent="0.25">
      <c r="A21" s="8"/>
      <c r="B21" s="7" t="s">
        <v>19</v>
      </c>
      <c r="C21" s="4" t="s">
        <v>20</v>
      </c>
    </row>
    <row r="22" spans="1:3" x14ac:dyDescent="0.25">
      <c r="A22" s="8"/>
      <c r="B22" s="7" t="s">
        <v>21</v>
      </c>
      <c r="C22" s="4" t="s">
        <v>22</v>
      </c>
    </row>
    <row r="23" spans="1:3" x14ac:dyDescent="0.25">
      <c r="A23" s="8"/>
      <c r="B23" s="7" t="s">
        <v>23</v>
      </c>
      <c r="C23" s="4" t="s">
        <v>24</v>
      </c>
    </row>
    <row r="24" spans="1:3" x14ac:dyDescent="0.25">
      <c r="A24" s="6" t="s">
        <v>25</v>
      </c>
      <c r="B24" s="7" t="s">
        <v>26</v>
      </c>
      <c r="C24" s="4" t="s">
        <v>27</v>
      </c>
    </row>
    <row r="25" spans="1:3" x14ac:dyDescent="0.25">
      <c r="A25" s="8"/>
      <c r="B25" s="7" t="s">
        <v>28</v>
      </c>
      <c r="C25" s="4" t="s">
        <v>29</v>
      </c>
    </row>
    <row r="26" spans="1:3" x14ac:dyDescent="0.25">
      <c r="A26" s="8"/>
      <c r="B26" s="7" t="s">
        <v>30</v>
      </c>
      <c r="C26" s="4" t="s">
        <v>31</v>
      </c>
    </row>
    <row r="27" spans="1:3" x14ac:dyDescent="0.25">
      <c r="A27" s="6" t="s">
        <v>32</v>
      </c>
      <c r="B27" s="7" t="s">
        <v>33</v>
      </c>
      <c r="C27" s="4" t="s">
        <v>34</v>
      </c>
    </row>
    <row r="28" spans="1:3" x14ac:dyDescent="0.25">
      <c r="A28" s="8"/>
      <c r="B28" s="7" t="s">
        <v>35</v>
      </c>
      <c r="C28" s="4" t="s">
        <v>36</v>
      </c>
    </row>
    <row r="29" spans="1:3" x14ac:dyDescent="0.25">
      <c r="A29" s="8"/>
      <c r="B29" s="7" t="s">
        <v>37</v>
      </c>
      <c r="C29" s="4" t="s">
        <v>38</v>
      </c>
    </row>
    <row r="30" spans="1:3" x14ac:dyDescent="0.25">
      <c r="A30" s="8"/>
      <c r="B30" s="7" t="s">
        <v>39</v>
      </c>
      <c r="C30" s="4" t="s">
        <v>40</v>
      </c>
    </row>
    <row r="31" spans="1:3" x14ac:dyDescent="0.25">
      <c r="A31" s="8"/>
      <c r="B31" s="7" t="s">
        <v>41</v>
      </c>
      <c r="C31" s="4" t="s">
        <v>42</v>
      </c>
    </row>
    <row r="32" spans="1:3" x14ac:dyDescent="0.25">
      <c r="A32" s="8"/>
      <c r="B32" s="7" t="s">
        <v>43</v>
      </c>
      <c r="C32" s="4" t="s">
        <v>44</v>
      </c>
    </row>
    <row r="33" spans="1:3" x14ac:dyDescent="0.25">
      <c r="A33" s="6" t="s">
        <v>45</v>
      </c>
      <c r="B33" s="7" t="s">
        <v>46</v>
      </c>
      <c r="C33" s="4" t="s">
        <v>47</v>
      </c>
    </row>
    <row r="34" spans="1:3" x14ac:dyDescent="0.25">
      <c r="A34" s="8"/>
      <c r="B34" s="7" t="s">
        <v>48</v>
      </c>
      <c r="C34" s="4" t="s">
        <v>49</v>
      </c>
    </row>
    <row r="35" spans="1:3" x14ac:dyDescent="0.25">
      <c r="A35" s="6" t="s">
        <v>50</v>
      </c>
      <c r="B35" s="7" t="s">
        <v>51</v>
      </c>
      <c r="C35" s="4" t="s">
        <v>52</v>
      </c>
    </row>
    <row r="36" spans="1:3" x14ac:dyDescent="0.25">
      <c r="A36" s="8"/>
      <c r="B36" s="7" t="s">
        <v>53</v>
      </c>
      <c r="C36" s="4" t="s">
        <v>54</v>
      </c>
    </row>
    <row r="37" spans="1:3" x14ac:dyDescent="0.25">
      <c r="A37" s="8"/>
      <c r="B37" s="7" t="s">
        <v>55</v>
      </c>
      <c r="C37" s="4" t="s">
        <v>56</v>
      </c>
    </row>
    <row r="38" spans="1:3" x14ac:dyDescent="0.25">
      <c r="A38" s="6" t="s">
        <v>57</v>
      </c>
      <c r="B38" s="7" t="s">
        <v>58</v>
      </c>
      <c r="C38" s="4" t="s">
        <v>59</v>
      </c>
    </row>
    <row r="39" spans="1:3" x14ac:dyDescent="0.25">
      <c r="A39" s="8"/>
      <c r="B39" s="7" t="s">
        <v>60</v>
      </c>
      <c r="C39" s="4" t="s">
        <v>61</v>
      </c>
    </row>
    <row r="40" spans="1:3" x14ac:dyDescent="0.25">
      <c r="A40" s="6" t="s">
        <v>62</v>
      </c>
      <c r="B40" s="7" t="s">
        <v>63</v>
      </c>
      <c r="C40" s="4"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5" x14ac:dyDescent="0.25"/>
  <cols>
    <col min="1" max="1" width="30" customWidth="1"/>
    <col min="2" max="2" width="46" customWidth="1"/>
    <col min="3" max="3" width="26" customWidth="1"/>
  </cols>
  <sheetData>
    <row r="1" spans="1:2" ht="18" customHeight="1" x14ac:dyDescent="0.25">
      <c r="A1" s="9" t="s">
        <v>0</v>
      </c>
    </row>
    <row r="2" spans="1:2" x14ac:dyDescent="0.25">
      <c r="A2" s="10" t="s">
        <v>67</v>
      </c>
    </row>
    <row r="4" spans="1:2" x14ac:dyDescent="0.25">
      <c r="A4" s="7" t="s">
        <v>68</v>
      </c>
      <c r="B4" s="11" t="s">
        <v>0</v>
      </c>
    </row>
    <row r="5" spans="1:2" x14ac:dyDescent="0.25">
      <c r="A5" s="7" t="s">
        <v>69</v>
      </c>
      <c r="B5" s="11" t="s">
        <v>70</v>
      </c>
    </row>
    <row r="6" spans="1:2" x14ac:dyDescent="0.25">
      <c r="A6" s="7" t="s">
        <v>71</v>
      </c>
      <c r="B6" s="11" t="s">
        <v>72</v>
      </c>
    </row>
    <row r="7" spans="1:2" x14ac:dyDescent="0.25">
      <c r="A7" s="7" t="s">
        <v>73</v>
      </c>
      <c r="B7" s="11" t="s">
        <v>74</v>
      </c>
    </row>
    <row r="8" spans="1:2" x14ac:dyDescent="0.25">
      <c r="A8" s="7" t="s">
        <v>75</v>
      </c>
      <c r="B8" s="11" t="s">
        <v>76</v>
      </c>
    </row>
    <row r="9" spans="1:2" x14ac:dyDescent="0.25">
      <c r="A9" s="7" t="s">
        <v>77</v>
      </c>
      <c r="B9" s="11" t="s">
        <v>78</v>
      </c>
    </row>
    <row r="10" spans="1:2" x14ac:dyDescent="0.25">
      <c r="A10" s="7" t="s">
        <v>79</v>
      </c>
      <c r="B10" s="11" t="s">
        <v>80</v>
      </c>
    </row>
    <row r="11" spans="1:2" x14ac:dyDescent="0.25">
      <c r="A11" s="7" t="s">
        <v>81</v>
      </c>
      <c r="B11" s="11" t="s">
        <v>82</v>
      </c>
    </row>
    <row r="12" spans="1:2" x14ac:dyDescent="0.25">
      <c r="A12" s="7" t="s">
        <v>83</v>
      </c>
      <c r="B12" s="11" t="s">
        <v>84</v>
      </c>
    </row>
    <row r="13" spans="1:2" x14ac:dyDescent="0.25">
      <c r="A13" s="7" t="s">
        <v>85</v>
      </c>
      <c r="B13" s="11" t="s">
        <v>78</v>
      </c>
    </row>
    <row r="15" spans="1:2" x14ac:dyDescent="0.25">
      <c r="A15" s="10" t="s">
        <v>86</v>
      </c>
    </row>
    <row r="16" spans="1:2" x14ac:dyDescent="0.25">
      <c r="A16" s="10"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RowHeight="15" x14ac:dyDescent="0.25"/>
  <cols>
    <col min="1" max="1" width="42" customWidth="1"/>
    <col min="2" max="2" width="24" customWidth="1"/>
    <col min="3" max="3" width="46" customWidth="1"/>
  </cols>
  <sheetData>
    <row r="1" spans="1:3" ht="18" customHeight="1" x14ac:dyDescent="0.25">
      <c r="A1" s="9" t="s">
        <v>19</v>
      </c>
    </row>
    <row r="2" spans="1:3" x14ac:dyDescent="0.25">
      <c r="A2" s="10" t="s">
        <v>88</v>
      </c>
    </row>
    <row r="4" spans="1:3" x14ac:dyDescent="0.25">
      <c r="A4" s="5" t="s">
        <v>89</v>
      </c>
      <c r="B4" s="5" t="s">
        <v>90</v>
      </c>
      <c r="C4" s="5" t="s">
        <v>91</v>
      </c>
    </row>
    <row r="5" spans="1:3" x14ac:dyDescent="0.25">
      <c r="A5" s="7" t="s">
        <v>92</v>
      </c>
      <c r="B5" s="12">
        <v>250000000</v>
      </c>
      <c r="C5" s="13" t="s">
        <v>93</v>
      </c>
    </row>
    <row r="6" spans="1:3" x14ac:dyDescent="0.25">
      <c r="A6" s="7" t="s">
        <v>94</v>
      </c>
      <c r="B6" s="12">
        <v>5000000</v>
      </c>
      <c r="C6" s="13" t="s">
        <v>95</v>
      </c>
    </row>
    <row r="7" spans="1:3" x14ac:dyDescent="0.25">
      <c r="A7" s="7" t="s">
        <v>96</v>
      </c>
      <c r="B7" s="11" t="s">
        <v>76</v>
      </c>
      <c r="C7" s="13" t="s">
        <v>97</v>
      </c>
    </row>
    <row r="8" spans="1:3" x14ac:dyDescent="0.25">
      <c r="A8" s="7" t="s">
        <v>98</v>
      </c>
      <c r="B8" s="11" t="s">
        <v>99</v>
      </c>
      <c r="C8" s="13" t="s">
        <v>100</v>
      </c>
    </row>
    <row r="9" spans="1:3" x14ac:dyDescent="0.25">
      <c r="A9" s="7" t="s">
        <v>101</v>
      </c>
      <c r="B9" s="11" t="s">
        <v>102</v>
      </c>
      <c r="C9" s="13" t="s">
        <v>103</v>
      </c>
    </row>
    <row r="10" spans="1:3" x14ac:dyDescent="0.25">
      <c r="A10" s="7" t="s">
        <v>104</v>
      </c>
      <c r="B10" s="11" t="s">
        <v>105</v>
      </c>
      <c r="C10" s="13" t="s">
        <v>106</v>
      </c>
    </row>
    <row r="11" spans="1:3" x14ac:dyDescent="0.25">
      <c r="A11" s="7" t="s">
        <v>107</v>
      </c>
      <c r="B11" s="11" t="s">
        <v>78</v>
      </c>
      <c r="C11" s="13" t="s">
        <v>108</v>
      </c>
    </row>
    <row r="12" spans="1:3" x14ac:dyDescent="0.25">
      <c r="A12" s="7" t="s">
        <v>109</v>
      </c>
      <c r="B12" s="14">
        <v>0.02</v>
      </c>
      <c r="C12" s="13" t="s">
        <v>110</v>
      </c>
    </row>
    <row r="13" spans="1:3" x14ac:dyDescent="0.25">
      <c r="A13" s="7" t="s">
        <v>111</v>
      </c>
      <c r="B13" s="14">
        <v>1</v>
      </c>
      <c r="C13" s="13" t="s">
        <v>112</v>
      </c>
    </row>
    <row r="14" spans="1:3" x14ac:dyDescent="0.25">
      <c r="A14" s="7" t="s">
        <v>113</v>
      </c>
      <c r="B14" s="14">
        <v>0.08</v>
      </c>
      <c r="C14" s="13" t="s">
        <v>114</v>
      </c>
    </row>
    <row r="15" spans="1:3" x14ac:dyDescent="0.25">
      <c r="A15" s="7" t="s">
        <v>115</v>
      </c>
      <c r="B15" s="14">
        <v>1</v>
      </c>
      <c r="C15" s="13" t="s">
        <v>116</v>
      </c>
    </row>
    <row r="16" spans="1:3" x14ac:dyDescent="0.25">
      <c r="A16" s="7" t="s">
        <v>117</v>
      </c>
      <c r="B16" s="14">
        <v>0.2</v>
      </c>
      <c r="C16" s="13" t="s">
        <v>118</v>
      </c>
    </row>
    <row r="17" spans="1:3" x14ac:dyDescent="0.25">
      <c r="A17" s="7" t="s">
        <v>119</v>
      </c>
      <c r="B17" s="14">
        <v>0.08</v>
      </c>
      <c r="C17" s="13" t="s">
        <v>120</v>
      </c>
    </row>
    <row r="18" spans="1:3" x14ac:dyDescent="0.25">
      <c r="A18" s="7" t="s">
        <v>121</v>
      </c>
      <c r="B18" s="12">
        <v>1200000</v>
      </c>
      <c r="C18" s="13" t="s">
        <v>122</v>
      </c>
    </row>
    <row r="19" spans="1:3" x14ac:dyDescent="0.25">
      <c r="A19" s="7" t="s">
        <v>123</v>
      </c>
      <c r="B19" s="12">
        <v>900000</v>
      </c>
      <c r="C19" s="13" t="s">
        <v>124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defaultRowHeight="15" x14ac:dyDescent="0.25"/>
  <cols>
    <col min="1" max="1" width="44" customWidth="1"/>
    <col min="2" max="2" width="10" customWidth="1"/>
    <col min="3" max="3" width="20" customWidth="1"/>
    <col min="4" max="4" width="14" customWidth="1"/>
    <col min="5" max="5" width="16" customWidth="1"/>
  </cols>
  <sheetData>
    <row r="1" spans="1:5" ht="18" customHeight="1" x14ac:dyDescent="0.25">
      <c r="A1" s="9" t="s">
        <v>125</v>
      </c>
    </row>
    <row r="4" spans="1:5" x14ac:dyDescent="0.25">
      <c r="A4" s="5" t="s">
        <v>126</v>
      </c>
      <c r="B4" s="5" t="s">
        <v>127</v>
      </c>
      <c r="C4" s="5" t="s">
        <v>128</v>
      </c>
      <c r="D4" s="5" t="s">
        <v>129</v>
      </c>
      <c r="E4" s="5" t="s">
        <v>130</v>
      </c>
    </row>
    <row r="5" spans="1:5" x14ac:dyDescent="0.25">
      <c r="A5" s="8" t="s">
        <v>72</v>
      </c>
      <c r="B5" s="8" t="s">
        <v>131</v>
      </c>
      <c r="C5" s="12">
        <v>5000000</v>
      </c>
      <c r="D5" s="15">
        <f t="shared" ref="D5:D11" si="0">C5/$C$12</f>
        <v>0.02</v>
      </c>
      <c r="E5" s="8" t="s">
        <v>97</v>
      </c>
    </row>
    <row r="6" spans="1:5" x14ac:dyDescent="0.25">
      <c r="A6" s="8" t="s">
        <v>132</v>
      </c>
      <c r="B6" s="8" t="s">
        <v>133</v>
      </c>
      <c r="C6" s="12">
        <v>75000000</v>
      </c>
      <c r="D6" s="15">
        <f t="shared" si="0"/>
        <v>0.3</v>
      </c>
      <c r="E6" s="8" t="s">
        <v>97</v>
      </c>
    </row>
    <row r="7" spans="1:5" x14ac:dyDescent="0.25">
      <c r="A7" s="8" t="s">
        <v>134</v>
      </c>
      <c r="B7" s="8" t="s">
        <v>133</v>
      </c>
      <c r="C7" s="12">
        <v>40000000</v>
      </c>
      <c r="D7" s="15">
        <f t="shared" si="0"/>
        <v>0.16</v>
      </c>
      <c r="E7" s="8" t="s">
        <v>97</v>
      </c>
    </row>
    <row r="8" spans="1:5" x14ac:dyDescent="0.25">
      <c r="A8" s="8" t="s">
        <v>135</v>
      </c>
      <c r="B8" s="8" t="s">
        <v>133</v>
      </c>
      <c r="C8" s="12">
        <v>35000000</v>
      </c>
      <c r="D8" s="15">
        <f t="shared" si="0"/>
        <v>0.14000000000000001</v>
      </c>
      <c r="E8" s="8" t="s">
        <v>100</v>
      </c>
    </row>
    <row r="9" spans="1:5" x14ac:dyDescent="0.25">
      <c r="A9" s="8" t="s">
        <v>136</v>
      </c>
      <c r="B9" s="8" t="s">
        <v>133</v>
      </c>
      <c r="C9" s="12">
        <v>25000000</v>
      </c>
      <c r="D9" s="15">
        <f t="shared" si="0"/>
        <v>0.1</v>
      </c>
      <c r="E9" s="8" t="s">
        <v>100</v>
      </c>
    </row>
    <row r="10" spans="1:5" x14ac:dyDescent="0.25">
      <c r="A10" s="8" t="s">
        <v>137</v>
      </c>
      <c r="B10" s="8" t="s">
        <v>133</v>
      </c>
      <c r="C10" s="12">
        <v>30000000</v>
      </c>
      <c r="D10" s="15">
        <f t="shared" si="0"/>
        <v>0.12</v>
      </c>
      <c r="E10" s="8" t="s">
        <v>138</v>
      </c>
    </row>
    <row r="11" spans="1:5" x14ac:dyDescent="0.25">
      <c r="A11" s="8" t="s">
        <v>139</v>
      </c>
      <c r="B11" s="8" t="s">
        <v>133</v>
      </c>
      <c r="C11" s="12">
        <v>40000000</v>
      </c>
      <c r="D11" s="15">
        <f t="shared" si="0"/>
        <v>0.16</v>
      </c>
      <c r="E11" s="8" t="s">
        <v>138</v>
      </c>
    </row>
    <row r="12" spans="1:5" x14ac:dyDescent="0.25">
      <c r="A12" s="7" t="s">
        <v>140</v>
      </c>
      <c r="C12" s="16">
        <f>SUM(C5:C11)</f>
        <v>250000000</v>
      </c>
      <c r="D12" s="17">
        <f>SUM(D5:D11)</f>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
  <sheetViews>
    <sheetView workbookViewId="0"/>
  </sheetViews>
  <sheetFormatPr defaultRowHeight="15" x14ac:dyDescent="0.25"/>
  <cols>
    <col min="1" max="1" width="14" customWidth="1"/>
    <col min="2" max="2" width="50" customWidth="1"/>
    <col min="3" max="3" width="16" customWidth="1"/>
    <col min="4" max="4" width="22" customWidth="1"/>
    <col min="5" max="5" width="16" customWidth="1"/>
    <col min="6" max="6" width="70" customWidth="1"/>
  </cols>
  <sheetData>
    <row r="1" spans="1:6" ht="18" customHeight="1" x14ac:dyDescent="0.25">
      <c r="A1" s="9" t="s">
        <v>23</v>
      </c>
    </row>
    <row r="4" spans="1:6" ht="30" customHeight="1" x14ac:dyDescent="0.25">
      <c r="A4" s="5" t="s">
        <v>141</v>
      </c>
      <c r="B4" s="5" t="s">
        <v>142</v>
      </c>
      <c r="C4" s="5" t="s">
        <v>127</v>
      </c>
      <c r="D4" s="5" t="s">
        <v>143</v>
      </c>
      <c r="E4" s="5" t="s">
        <v>144</v>
      </c>
      <c r="F4" s="5" t="s">
        <v>91</v>
      </c>
    </row>
    <row r="5" spans="1:6" x14ac:dyDescent="0.25">
      <c r="A5" s="11" t="s">
        <v>145</v>
      </c>
      <c r="B5" s="11" t="s">
        <v>146</v>
      </c>
      <c r="C5" s="8" t="s">
        <v>147</v>
      </c>
      <c r="D5" s="8" t="s">
        <v>33</v>
      </c>
      <c r="E5" s="8" t="s">
        <v>148</v>
      </c>
    </row>
    <row r="6" spans="1:6" x14ac:dyDescent="0.25">
      <c r="A6" s="11" t="s">
        <v>149</v>
      </c>
      <c r="B6" s="11" t="s">
        <v>150</v>
      </c>
      <c r="C6" s="8" t="s">
        <v>147</v>
      </c>
      <c r="D6" s="8" t="s">
        <v>33</v>
      </c>
      <c r="E6" s="8" t="s">
        <v>148</v>
      </c>
    </row>
    <row r="7" spans="1:6" x14ac:dyDescent="0.25">
      <c r="A7" s="11" t="s">
        <v>151</v>
      </c>
      <c r="B7" s="11" t="s">
        <v>152</v>
      </c>
      <c r="C7" s="8" t="s">
        <v>147</v>
      </c>
      <c r="D7" s="8" t="s">
        <v>33</v>
      </c>
      <c r="E7" s="8" t="s">
        <v>148</v>
      </c>
    </row>
    <row r="8" spans="1:6" x14ac:dyDescent="0.25">
      <c r="A8" s="11" t="s">
        <v>153</v>
      </c>
      <c r="B8" s="11" t="s">
        <v>154</v>
      </c>
      <c r="C8" s="8" t="s">
        <v>147</v>
      </c>
      <c r="D8" s="8" t="s">
        <v>33</v>
      </c>
      <c r="E8" s="8" t="s">
        <v>148</v>
      </c>
    </row>
    <row r="9" spans="1:6" x14ac:dyDescent="0.25">
      <c r="A9" s="11" t="s">
        <v>155</v>
      </c>
      <c r="B9" s="11" t="s">
        <v>156</v>
      </c>
      <c r="C9" s="8" t="s">
        <v>147</v>
      </c>
      <c r="D9" s="8" t="s">
        <v>33</v>
      </c>
      <c r="E9" s="8" t="s">
        <v>148</v>
      </c>
      <c r="F9" s="8" t="s">
        <v>157</v>
      </c>
    </row>
    <row r="10" spans="1:6" x14ac:dyDescent="0.25">
      <c r="A10" s="11" t="s">
        <v>158</v>
      </c>
      <c r="B10" s="11" t="s">
        <v>159</v>
      </c>
      <c r="C10" s="8" t="s">
        <v>147</v>
      </c>
      <c r="D10" s="8" t="s">
        <v>33</v>
      </c>
      <c r="E10" s="8" t="s">
        <v>148</v>
      </c>
      <c r="F10" t="s">
        <v>160</v>
      </c>
    </row>
    <row r="11" spans="1:6" x14ac:dyDescent="0.25">
      <c r="A11" s="11" t="s">
        <v>161</v>
      </c>
      <c r="B11" s="11" t="s">
        <v>162</v>
      </c>
      <c r="C11" s="8" t="s">
        <v>147</v>
      </c>
      <c r="D11" s="8" t="s">
        <v>33</v>
      </c>
      <c r="E11" s="8" t="s">
        <v>148</v>
      </c>
    </row>
    <row r="12" spans="1:6" x14ac:dyDescent="0.25">
      <c r="A12" s="11" t="s">
        <v>163</v>
      </c>
      <c r="B12" s="11" t="s">
        <v>164</v>
      </c>
      <c r="C12" s="8" t="s">
        <v>147</v>
      </c>
      <c r="D12" s="8" t="s">
        <v>33</v>
      </c>
      <c r="E12" s="8" t="s">
        <v>148</v>
      </c>
      <c r="F12" s="8" t="s">
        <v>165</v>
      </c>
    </row>
    <row r="13" spans="1:6" x14ac:dyDescent="0.25">
      <c r="A13" s="11" t="s">
        <v>166</v>
      </c>
      <c r="B13" s="11" t="s">
        <v>167</v>
      </c>
      <c r="C13" s="8" t="s">
        <v>168</v>
      </c>
      <c r="D13" s="8" t="s">
        <v>33</v>
      </c>
      <c r="E13" s="8" t="s">
        <v>169</v>
      </c>
    </row>
    <row r="14" spans="1:6" x14ac:dyDescent="0.25">
      <c r="A14" s="11" t="s">
        <v>170</v>
      </c>
      <c r="B14" s="11" t="s">
        <v>171</v>
      </c>
      <c r="C14" s="8" t="s">
        <v>168</v>
      </c>
      <c r="D14" s="8" t="s">
        <v>33</v>
      </c>
      <c r="E14" s="8" t="s">
        <v>169</v>
      </c>
    </row>
    <row r="15" spans="1:6" x14ac:dyDescent="0.25">
      <c r="A15" s="11" t="s">
        <v>172</v>
      </c>
      <c r="B15" s="11" t="s">
        <v>173</v>
      </c>
      <c r="C15" s="8" t="s">
        <v>168</v>
      </c>
      <c r="D15" s="8" t="s">
        <v>33</v>
      </c>
      <c r="E15" s="8" t="s">
        <v>169</v>
      </c>
    </row>
    <row r="16" spans="1:6" x14ac:dyDescent="0.25">
      <c r="A16" s="11" t="s">
        <v>174</v>
      </c>
      <c r="B16" s="11" t="s">
        <v>175</v>
      </c>
      <c r="C16" s="8" t="s">
        <v>168</v>
      </c>
      <c r="D16" s="8" t="s">
        <v>33</v>
      </c>
      <c r="E16" s="8" t="s">
        <v>169</v>
      </c>
    </row>
    <row r="17" spans="1:6" x14ac:dyDescent="0.25">
      <c r="A17" s="11" t="s">
        <v>176</v>
      </c>
      <c r="B17" s="11" t="s">
        <v>177</v>
      </c>
      <c r="C17" s="8" t="s">
        <v>178</v>
      </c>
      <c r="D17" s="8" t="s">
        <v>179</v>
      </c>
      <c r="E17" s="8" t="s">
        <v>169</v>
      </c>
    </row>
    <row r="18" spans="1:6" x14ac:dyDescent="0.25">
      <c r="A18" s="11" t="s">
        <v>180</v>
      </c>
      <c r="B18" s="11" t="s">
        <v>181</v>
      </c>
      <c r="C18" s="8" t="s">
        <v>178</v>
      </c>
      <c r="D18" s="8" t="s">
        <v>179</v>
      </c>
      <c r="E18" s="8" t="s">
        <v>148</v>
      </c>
      <c r="F18" s="8" t="s">
        <v>182</v>
      </c>
    </row>
    <row r="19" spans="1:6" x14ac:dyDescent="0.25">
      <c r="A19" s="11" t="s">
        <v>183</v>
      </c>
      <c r="B19" s="11" t="s">
        <v>184</v>
      </c>
      <c r="C19" s="8" t="s">
        <v>178</v>
      </c>
      <c r="D19" s="8" t="s">
        <v>179</v>
      </c>
      <c r="E19" s="8" t="s">
        <v>148</v>
      </c>
    </row>
    <row r="20" spans="1:6" x14ac:dyDescent="0.25">
      <c r="A20" s="11" t="s">
        <v>185</v>
      </c>
      <c r="B20" s="11" t="s">
        <v>186</v>
      </c>
      <c r="C20" s="8" t="s">
        <v>178</v>
      </c>
      <c r="D20" s="8" t="s">
        <v>179</v>
      </c>
      <c r="E20" s="8" t="s">
        <v>169</v>
      </c>
      <c r="F20" t="s">
        <v>187</v>
      </c>
    </row>
    <row r="21" spans="1:6" x14ac:dyDescent="0.25">
      <c r="A21" s="11" t="s">
        <v>188</v>
      </c>
      <c r="B21" s="11" t="s">
        <v>189</v>
      </c>
      <c r="C21" s="8" t="s">
        <v>190</v>
      </c>
      <c r="D21" s="8" t="s">
        <v>35</v>
      </c>
      <c r="E21" s="8" t="s">
        <v>169</v>
      </c>
    </row>
    <row r="22" spans="1:6" x14ac:dyDescent="0.25">
      <c r="A22" s="11" t="s">
        <v>191</v>
      </c>
      <c r="B22" s="11" t="s">
        <v>192</v>
      </c>
      <c r="C22" s="8" t="s">
        <v>190</v>
      </c>
      <c r="D22" s="8" t="s">
        <v>35</v>
      </c>
      <c r="E22" s="8" t="s">
        <v>169</v>
      </c>
    </row>
    <row r="23" spans="1:6" x14ac:dyDescent="0.25">
      <c r="A23" s="11" t="s">
        <v>193</v>
      </c>
      <c r="B23" s="11" t="s">
        <v>194</v>
      </c>
      <c r="C23" s="8" t="s">
        <v>190</v>
      </c>
      <c r="D23" s="8" t="s">
        <v>35</v>
      </c>
      <c r="E23" s="8" t="s">
        <v>169</v>
      </c>
      <c r="F23" t="s">
        <v>195</v>
      </c>
    </row>
    <row r="24" spans="1:6" x14ac:dyDescent="0.25">
      <c r="A24" s="11" t="s">
        <v>196</v>
      </c>
      <c r="B24" s="11" t="s">
        <v>197</v>
      </c>
      <c r="C24" s="8" t="s">
        <v>198</v>
      </c>
      <c r="D24" s="8" t="s">
        <v>35</v>
      </c>
      <c r="E24" s="8" t="s">
        <v>148</v>
      </c>
    </row>
    <row r="25" spans="1:6" x14ac:dyDescent="0.25">
      <c r="A25" s="11" t="s">
        <v>199</v>
      </c>
      <c r="B25" s="11" t="s">
        <v>111</v>
      </c>
      <c r="C25" s="8" t="s">
        <v>198</v>
      </c>
      <c r="D25" s="8" t="s">
        <v>35</v>
      </c>
      <c r="E25" s="8" t="s">
        <v>169</v>
      </c>
      <c r="F25" t="s">
        <v>200</v>
      </c>
    </row>
    <row r="26" spans="1:6" x14ac:dyDescent="0.25">
      <c r="A26" s="11" t="s">
        <v>201</v>
      </c>
      <c r="B26" s="11" t="s">
        <v>121</v>
      </c>
      <c r="C26" s="8" t="s">
        <v>198</v>
      </c>
      <c r="D26" s="8" t="s">
        <v>35</v>
      </c>
      <c r="E26" s="8" t="s">
        <v>148</v>
      </c>
    </row>
    <row r="27" spans="1:6" x14ac:dyDescent="0.25">
      <c r="A27" s="11" t="s">
        <v>202</v>
      </c>
      <c r="B27" s="11" t="s">
        <v>203</v>
      </c>
      <c r="C27" s="8" t="s">
        <v>198</v>
      </c>
      <c r="D27" s="8" t="s">
        <v>35</v>
      </c>
      <c r="E27" s="8" t="s">
        <v>148</v>
      </c>
      <c r="F27" s="8" t="s">
        <v>204</v>
      </c>
    </row>
    <row r="28" spans="1:6" x14ac:dyDescent="0.25">
      <c r="A28" s="11" t="s">
        <v>205</v>
      </c>
      <c r="B28" s="11" t="s">
        <v>206</v>
      </c>
      <c r="C28" s="8" t="s">
        <v>198</v>
      </c>
      <c r="D28" s="8" t="s">
        <v>35</v>
      </c>
      <c r="E28" s="8" t="s">
        <v>148</v>
      </c>
    </row>
    <row r="29" spans="1:6" x14ac:dyDescent="0.25">
      <c r="A29" s="11" t="s">
        <v>207</v>
      </c>
      <c r="B29" s="11" t="s">
        <v>208</v>
      </c>
      <c r="C29" s="8" t="s">
        <v>198</v>
      </c>
      <c r="D29" s="8" t="s">
        <v>35</v>
      </c>
      <c r="E29" s="8" t="s">
        <v>148</v>
      </c>
    </row>
    <row r="30" spans="1:6" x14ac:dyDescent="0.25">
      <c r="A30" s="11" t="s">
        <v>209</v>
      </c>
      <c r="B30" s="11" t="s">
        <v>210</v>
      </c>
      <c r="C30" s="8" t="s">
        <v>198</v>
      </c>
      <c r="D30" s="8" t="s">
        <v>35</v>
      </c>
      <c r="E30" s="8" t="s">
        <v>148</v>
      </c>
    </row>
    <row r="31" spans="1:6" x14ac:dyDescent="0.25">
      <c r="A31" s="11" t="s">
        <v>211</v>
      </c>
      <c r="B31" s="11" t="s">
        <v>212</v>
      </c>
      <c r="C31" s="8" t="s">
        <v>198</v>
      </c>
      <c r="D31" s="8" t="s">
        <v>35</v>
      </c>
      <c r="E31" s="8" t="s">
        <v>148</v>
      </c>
    </row>
    <row r="32" spans="1:6" x14ac:dyDescent="0.25">
      <c r="A32" s="11" t="s">
        <v>213</v>
      </c>
      <c r="B32" s="11" t="s">
        <v>214</v>
      </c>
      <c r="C32" s="8" t="s">
        <v>198</v>
      </c>
      <c r="D32" s="8" t="s">
        <v>35</v>
      </c>
      <c r="E32" s="8" t="s">
        <v>148</v>
      </c>
    </row>
    <row r="33" spans="1:5" x14ac:dyDescent="0.25">
      <c r="A33" s="11" t="s">
        <v>215</v>
      </c>
      <c r="B33" s="11" t="s">
        <v>216</v>
      </c>
      <c r="C33" s="8" t="s">
        <v>198</v>
      </c>
      <c r="D33" s="8" t="s">
        <v>35</v>
      </c>
      <c r="E33" s="8" t="s">
        <v>148</v>
      </c>
    </row>
    <row r="34" spans="1:5" x14ac:dyDescent="0.25">
      <c r="A34" s="11" t="s">
        <v>217</v>
      </c>
      <c r="B34" s="11" t="s">
        <v>218</v>
      </c>
      <c r="C34" s="8" t="s">
        <v>190</v>
      </c>
      <c r="D34" s="8" t="s">
        <v>35</v>
      </c>
      <c r="E34" s="8" t="s">
        <v>169</v>
      </c>
    </row>
    <row r="35" spans="1:5" x14ac:dyDescent="0.25">
      <c r="A35" s="11" t="s">
        <v>219</v>
      </c>
      <c r="B35" s="11" t="s">
        <v>220</v>
      </c>
      <c r="C35" s="8" t="s">
        <v>190</v>
      </c>
      <c r="D35" s="8" t="s">
        <v>35</v>
      </c>
      <c r="E35" s="8" t="s">
        <v>169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86"/>
  <sheetViews>
    <sheetView workbookViewId="0">
      <pane ySplit="4" topLeftCell="A5" activePane="bottomLeft" state="frozen"/>
      <selection pane="bottomLeft"/>
    </sheetView>
  </sheetViews>
  <sheetFormatPr defaultRowHeight="15" x14ac:dyDescent="0.25"/>
  <cols>
    <col min="1" max="1" width="13" customWidth="1"/>
    <col min="2" max="2" width="11" customWidth="1"/>
    <col min="3" max="3" width="12" customWidth="1"/>
    <col min="4" max="4" width="10" customWidth="1"/>
    <col min="5" max="5" width="44" customWidth="1"/>
    <col min="6" max="6" width="26" customWidth="1"/>
    <col min="7" max="9" width="15" customWidth="1"/>
    <col min="10" max="10" width="9" customWidth="1"/>
  </cols>
  <sheetData>
    <row r="1" spans="1:10" ht="18" customHeight="1" x14ac:dyDescent="0.25">
      <c r="A1" s="9" t="s">
        <v>221</v>
      </c>
    </row>
    <row r="2" spans="1:10" x14ac:dyDescent="0.25">
      <c r="A2" s="10" t="s">
        <v>222</v>
      </c>
    </row>
    <row r="4" spans="1:10" ht="30" customHeight="1" x14ac:dyDescent="0.25">
      <c r="A4" s="5" t="s">
        <v>223</v>
      </c>
      <c r="B4" s="5" t="s">
        <v>224</v>
      </c>
      <c r="C4" s="5" t="s">
        <v>225</v>
      </c>
      <c r="D4" s="5" t="s">
        <v>226</v>
      </c>
      <c r="E4" s="5" t="s">
        <v>142</v>
      </c>
      <c r="F4" s="5" t="s">
        <v>227</v>
      </c>
      <c r="G4" s="5" t="s">
        <v>148</v>
      </c>
      <c r="H4" s="5" t="s">
        <v>169</v>
      </c>
      <c r="I4" s="5" t="s">
        <v>228</v>
      </c>
      <c r="J4" s="5" t="s">
        <v>229</v>
      </c>
    </row>
    <row r="5" spans="1:10" x14ac:dyDescent="0.25">
      <c r="A5" s="18">
        <v>43555</v>
      </c>
      <c r="B5" s="18">
        <v>43555</v>
      </c>
      <c r="C5" s="11" t="s">
        <v>230</v>
      </c>
      <c r="D5" s="11" t="s">
        <v>145</v>
      </c>
      <c r="E5" s="13" t="s">
        <v>146</v>
      </c>
      <c r="F5" s="13" t="s">
        <v>231</v>
      </c>
      <c r="G5" s="19">
        <v>3100000</v>
      </c>
      <c r="H5" s="19"/>
      <c r="I5" s="19">
        <v>3100000</v>
      </c>
      <c r="J5" s="20">
        <v>0</v>
      </c>
    </row>
    <row r="6" spans="1:10" x14ac:dyDescent="0.25">
      <c r="A6" s="18">
        <v>43555</v>
      </c>
      <c r="B6" s="18">
        <v>43555</v>
      </c>
      <c r="C6" s="11" t="s">
        <v>230</v>
      </c>
      <c r="D6" s="11" t="s">
        <v>176</v>
      </c>
      <c r="E6" s="13" t="s">
        <v>177</v>
      </c>
      <c r="F6" s="13" t="s">
        <v>231</v>
      </c>
      <c r="G6" s="19"/>
      <c r="H6" s="19">
        <v>3100000</v>
      </c>
      <c r="I6" s="19">
        <v>-3100000</v>
      </c>
      <c r="J6" s="20">
        <v>0</v>
      </c>
    </row>
    <row r="7" spans="1:10" x14ac:dyDescent="0.25">
      <c r="A7" s="18">
        <v>43555</v>
      </c>
      <c r="B7" s="18">
        <v>43555</v>
      </c>
      <c r="C7" s="11" t="s">
        <v>230</v>
      </c>
      <c r="D7" s="11" t="s">
        <v>201</v>
      </c>
      <c r="E7" s="13" t="s">
        <v>121</v>
      </c>
      <c r="F7" s="13" t="s">
        <v>232</v>
      </c>
      <c r="G7" s="19">
        <v>1200000</v>
      </c>
      <c r="H7" s="19"/>
      <c r="I7" s="19">
        <v>1200000</v>
      </c>
      <c r="J7" s="20">
        <v>0</v>
      </c>
    </row>
    <row r="8" spans="1:10" x14ac:dyDescent="0.25">
      <c r="A8" s="18">
        <v>43555</v>
      </c>
      <c r="B8" s="18">
        <v>43555</v>
      </c>
      <c r="C8" s="11" t="s">
        <v>230</v>
      </c>
      <c r="D8" s="11" t="s">
        <v>145</v>
      </c>
      <c r="E8" s="13" t="s">
        <v>146</v>
      </c>
      <c r="F8" s="13" t="s">
        <v>232</v>
      </c>
      <c r="G8" s="19"/>
      <c r="H8" s="19">
        <v>1200000</v>
      </c>
      <c r="I8" s="19">
        <v>-1200000</v>
      </c>
      <c r="J8" s="20">
        <v>0</v>
      </c>
    </row>
    <row r="9" spans="1:10" x14ac:dyDescent="0.25">
      <c r="A9" s="18">
        <v>43555</v>
      </c>
      <c r="B9" s="18">
        <v>43555</v>
      </c>
      <c r="C9" s="11" t="s">
        <v>230</v>
      </c>
      <c r="D9" s="11" t="s">
        <v>180</v>
      </c>
      <c r="E9" s="13" t="s">
        <v>181</v>
      </c>
      <c r="F9" s="13" t="s">
        <v>232</v>
      </c>
      <c r="G9" s="19">
        <v>900000</v>
      </c>
      <c r="H9" s="19"/>
      <c r="I9" s="19">
        <v>900000</v>
      </c>
      <c r="J9" s="20">
        <v>0</v>
      </c>
    </row>
    <row r="10" spans="1:10" x14ac:dyDescent="0.25">
      <c r="A10" s="18">
        <v>43555</v>
      </c>
      <c r="B10" s="18">
        <v>43555</v>
      </c>
      <c r="C10" s="11" t="s">
        <v>230</v>
      </c>
      <c r="D10" s="11" t="s">
        <v>145</v>
      </c>
      <c r="E10" s="13" t="s">
        <v>146</v>
      </c>
      <c r="F10" s="13" t="s">
        <v>232</v>
      </c>
      <c r="G10" s="19"/>
      <c r="H10" s="19">
        <v>900000</v>
      </c>
      <c r="I10" s="19">
        <v>-900000</v>
      </c>
      <c r="J10" s="20">
        <v>0</v>
      </c>
    </row>
    <row r="11" spans="1:10" x14ac:dyDescent="0.25">
      <c r="A11" s="18">
        <v>43555</v>
      </c>
      <c r="B11" s="18">
        <v>43555</v>
      </c>
      <c r="C11" s="11" t="s">
        <v>230</v>
      </c>
      <c r="D11" s="11" t="s">
        <v>196</v>
      </c>
      <c r="E11" s="13" t="s">
        <v>197</v>
      </c>
      <c r="F11" s="13" t="s">
        <v>233</v>
      </c>
      <c r="G11" s="19">
        <v>575000</v>
      </c>
      <c r="H11" s="19"/>
      <c r="I11" s="19">
        <v>575000</v>
      </c>
      <c r="J11" s="20">
        <v>0</v>
      </c>
    </row>
    <row r="12" spans="1:10" x14ac:dyDescent="0.25">
      <c r="A12" s="18">
        <v>43555</v>
      </c>
      <c r="B12" s="18">
        <v>43555</v>
      </c>
      <c r="C12" s="11" t="s">
        <v>230</v>
      </c>
      <c r="D12" s="11" t="s">
        <v>170</v>
      </c>
      <c r="E12" s="13" t="s">
        <v>171</v>
      </c>
      <c r="F12" s="13" t="s">
        <v>233</v>
      </c>
      <c r="G12" s="19"/>
      <c r="H12" s="19">
        <v>575000</v>
      </c>
      <c r="I12" s="19">
        <v>-575000</v>
      </c>
      <c r="J12" s="20">
        <v>0</v>
      </c>
    </row>
    <row r="13" spans="1:10" x14ac:dyDescent="0.25">
      <c r="A13" s="18">
        <v>43555</v>
      </c>
      <c r="B13" s="18">
        <v>43555</v>
      </c>
      <c r="C13" s="11" t="s">
        <v>230</v>
      </c>
      <c r="D13" s="11" t="s">
        <v>170</v>
      </c>
      <c r="E13" s="13" t="s">
        <v>171</v>
      </c>
      <c r="F13" s="13" t="s">
        <v>233</v>
      </c>
      <c r="G13" s="19">
        <v>575000</v>
      </c>
      <c r="H13" s="19"/>
      <c r="I13" s="19">
        <v>575000</v>
      </c>
      <c r="J13" s="20">
        <v>0</v>
      </c>
    </row>
    <row r="14" spans="1:10" x14ac:dyDescent="0.25">
      <c r="A14" s="18">
        <v>43555</v>
      </c>
      <c r="B14" s="18">
        <v>43555</v>
      </c>
      <c r="C14" s="11" t="s">
        <v>230</v>
      </c>
      <c r="D14" s="11" t="s">
        <v>145</v>
      </c>
      <c r="E14" s="13" t="s">
        <v>146</v>
      </c>
      <c r="F14" s="13" t="s">
        <v>233</v>
      </c>
      <c r="G14" s="19"/>
      <c r="H14" s="19">
        <v>575000</v>
      </c>
      <c r="I14" s="19">
        <v>-575000</v>
      </c>
      <c r="J14" s="20">
        <v>0</v>
      </c>
    </row>
    <row r="15" spans="1:10" x14ac:dyDescent="0.25">
      <c r="A15" s="18">
        <v>43555</v>
      </c>
      <c r="B15" s="18">
        <v>43555</v>
      </c>
      <c r="C15" s="11" t="s">
        <v>230</v>
      </c>
      <c r="D15" s="11" t="s">
        <v>209</v>
      </c>
      <c r="E15" s="13" t="s">
        <v>210</v>
      </c>
      <c r="F15" s="13" t="s">
        <v>234</v>
      </c>
      <c r="G15" s="19">
        <v>45000</v>
      </c>
      <c r="H15" s="19"/>
      <c r="I15" s="19">
        <v>45000</v>
      </c>
      <c r="J15" s="20">
        <v>0</v>
      </c>
    </row>
    <row r="16" spans="1:10" x14ac:dyDescent="0.25">
      <c r="A16" s="18">
        <v>43555</v>
      </c>
      <c r="B16" s="18">
        <v>43555</v>
      </c>
      <c r="C16" s="11" t="s">
        <v>230</v>
      </c>
      <c r="D16" s="11" t="s">
        <v>205</v>
      </c>
      <c r="E16" s="13" t="s">
        <v>206</v>
      </c>
      <c r="F16" s="13" t="s">
        <v>234</v>
      </c>
      <c r="G16" s="19">
        <v>30000</v>
      </c>
      <c r="H16" s="19"/>
      <c r="I16" s="19">
        <v>30000</v>
      </c>
      <c r="J16" s="20">
        <v>0</v>
      </c>
    </row>
    <row r="17" spans="1:10" x14ac:dyDescent="0.25">
      <c r="A17" s="18">
        <v>43555</v>
      </c>
      <c r="B17" s="18">
        <v>43555</v>
      </c>
      <c r="C17" s="11" t="s">
        <v>230</v>
      </c>
      <c r="D17" s="11" t="s">
        <v>207</v>
      </c>
      <c r="E17" s="13" t="s">
        <v>208</v>
      </c>
      <c r="F17" s="13" t="s">
        <v>234</v>
      </c>
      <c r="G17" s="19">
        <v>35000</v>
      </c>
      <c r="H17" s="19"/>
      <c r="I17" s="19">
        <v>35000</v>
      </c>
      <c r="J17" s="20">
        <v>0</v>
      </c>
    </row>
    <row r="18" spans="1:10" x14ac:dyDescent="0.25">
      <c r="A18" s="18">
        <v>43555</v>
      </c>
      <c r="B18" s="18">
        <v>43555</v>
      </c>
      <c r="C18" s="11" t="s">
        <v>230</v>
      </c>
      <c r="D18" s="11" t="s">
        <v>211</v>
      </c>
      <c r="E18" s="13" t="s">
        <v>212</v>
      </c>
      <c r="F18" s="13" t="s">
        <v>234</v>
      </c>
      <c r="G18" s="19">
        <v>5000</v>
      </c>
      <c r="H18" s="19"/>
      <c r="I18" s="19">
        <v>5000</v>
      </c>
      <c r="J18" s="20">
        <v>0</v>
      </c>
    </row>
    <row r="19" spans="1:10" x14ac:dyDescent="0.25">
      <c r="A19" s="18">
        <v>43555</v>
      </c>
      <c r="B19" s="18">
        <v>43555</v>
      </c>
      <c r="C19" s="11" t="s">
        <v>230</v>
      </c>
      <c r="D19" s="11" t="s">
        <v>215</v>
      </c>
      <c r="E19" s="13" t="s">
        <v>216</v>
      </c>
      <c r="F19" s="13" t="s">
        <v>234</v>
      </c>
      <c r="G19" s="19">
        <v>12000</v>
      </c>
      <c r="H19" s="19"/>
      <c r="I19" s="19">
        <v>12000</v>
      </c>
      <c r="J19" s="20">
        <v>0</v>
      </c>
    </row>
    <row r="20" spans="1:10" x14ac:dyDescent="0.25">
      <c r="A20" s="18">
        <v>43555</v>
      </c>
      <c r="B20" s="18">
        <v>43555</v>
      </c>
      <c r="C20" s="11" t="s">
        <v>230</v>
      </c>
      <c r="D20" s="11" t="s">
        <v>166</v>
      </c>
      <c r="E20" s="13" t="s">
        <v>167</v>
      </c>
      <c r="F20" s="13" t="s">
        <v>234</v>
      </c>
      <c r="G20" s="19"/>
      <c r="H20" s="19">
        <v>127000</v>
      </c>
      <c r="I20" s="19">
        <v>-127000</v>
      </c>
      <c r="J20" s="20">
        <v>0</v>
      </c>
    </row>
    <row r="21" spans="1:10" x14ac:dyDescent="0.25">
      <c r="A21" s="18">
        <v>43555</v>
      </c>
      <c r="B21" s="18">
        <v>43555</v>
      </c>
      <c r="C21" s="11" t="s">
        <v>230</v>
      </c>
      <c r="D21" s="11" t="s">
        <v>166</v>
      </c>
      <c r="E21" s="13" t="s">
        <v>167</v>
      </c>
      <c r="F21" s="13" t="s">
        <v>234</v>
      </c>
      <c r="G21" s="19">
        <v>127000</v>
      </c>
      <c r="H21" s="19"/>
      <c r="I21" s="19">
        <v>127000</v>
      </c>
      <c r="J21" s="20">
        <v>0</v>
      </c>
    </row>
    <row r="22" spans="1:10" x14ac:dyDescent="0.25">
      <c r="A22" s="18">
        <v>43555</v>
      </c>
      <c r="B22" s="18">
        <v>43555</v>
      </c>
      <c r="C22" s="11" t="s">
        <v>230</v>
      </c>
      <c r="D22" s="11" t="s">
        <v>145</v>
      </c>
      <c r="E22" s="13" t="s">
        <v>146</v>
      </c>
      <c r="F22" s="13" t="s">
        <v>234</v>
      </c>
      <c r="G22" s="19"/>
      <c r="H22" s="19">
        <v>127000</v>
      </c>
      <c r="I22" s="19">
        <v>-127000</v>
      </c>
      <c r="J22" s="20">
        <v>0</v>
      </c>
    </row>
    <row r="23" spans="1:10" x14ac:dyDescent="0.25">
      <c r="A23" s="18">
        <v>43646</v>
      </c>
      <c r="B23" s="18">
        <v>43646</v>
      </c>
      <c r="C23" s="11" t="s">
        <v>235</v>
      </c>
      <c r="D23" s="11" t="s">
        <v>145</v>
      </c>
      <c r="E23" s="13" t="s">
        <v>146</v>
      </c>
      <c r="F23" s="13" t="s">
        <v>231</v>
      </c>
      <c r="G23" s="19">
        <v>42700000</v>
      </c>
      <c r="H23" s="19"/>
      <c r="I23" s="19">
        <v>42700000</v>
      </c>
      <c r="J23" s="20">
        <v>1</v>
      </c>
    </row>
    <row r="24" spans="1:10" x14ac:dyDescent="0.25">
      <c r="A24" s="18">
        <v>43646</v>
      </c>
      <c r="B24" s="18">
        <v>43646</v>
      </c>
      <c r="C24" s="11" t="s">
        <v>235</v>
      </c>
      <c r="D24" s="11" t="s">
        <v>176</v>
      </c>
      <c r="E24" s="13" t="s">
        <v>177</v>
      </c>
      <c r="F24" s="13" t="s">
        <v>231</v>
      </c>
      <c r="G24" s="19"/>
      <c r="H24" s="19">
        <v>42700000</v>
      </c>
      <c r="I24" s="19">
        <v>-42700000</v>
      </c>
      <c r="J24" s="20">
        <v>1</v>
      </c>
    </row>
    <row r="25" spans="1:10" x14ac:dyDescent="0.25">
      <c r="A25" s="18">
        <v>43646</v>
      </c>
      <c r="B25" s="18">
        <v>43646</v>
      </c>
      <c r="C25" s="11" t="s">
        <v>235</v>
      </c>
      <c r="D25" s="11" t="s">
        <v>196</v>
      </c>
      <c r="E25" s="13" t="s">
        <v>197</v>
      </c>
      <c r="F25" s="13" t="s">
        <v>233</v>
      </c>
      <c r="G25" s="19">
        <v>575000</v>
      </c>
      <c r="H25" s="19"/>
      <c r="I25" s="19">
        <v>575000</v>
      </c>
      <c r="J25" s="20">
        <v>1</v>
      </c>
    </row>
    <row r="26" spans="1:10" x14ac:dyDescent="0.25">
      <c r="A26" s="18">
        <v>43646</v>
      </c>
      <c r="B26" s="18">
        <v>43646</v>
      </c>
      <c r="C26" s="11" t="s">
        <v>235</v>
      </c>
      <c r="D26" s="11" t="s">
        <v>170</v>
      </c>
      <c r="E26" s="13" t="s">
        <v>171</v>
      </c>
      <c r="F26" s="13" t="s">
        <v>233</v>
      </c>
      <c r="G26" s="19"/>
      <c r="H26" s="19">
        <v>575000</v>
      </c>
      <c r="I26" s="19">
        <v>-575000</v>
      </c>
      <c r="J26" s="20">
        <v>1</v>
      </c>
    </row>
    <row r="27" spans="1:10" x14ac:dyDescent="0.25">
      <c r="A27" s="18">
        <v>43646</v>
      </c>
      <c r="B27" s="18">
        <v>43646</v>
      </c>
      <c r="C27" s="11" t="s">
        <v>235</v>
      </c>
      <c r="D27" s="11" t="s">
        <v>170</v>
      </c>
      <c r="E27" s="13" t="s">
        <v>171</v>
      </c>
      <c r="F27" s="13" t="s">
        <v>233</v>
      </c>
      <c r="G27" s="19">
        <v>575000</v>
      </c>
      <c r="H27" s="19"/>
      <c r="I27" s="19">
        <v>575000</v>
      </c>
      <c r="J27" s="20">
        <v>1</v>
      </c>
    </row>
    <row r="28" spans="1:10" x14ac:dyDescent="0.25">
      <c r="A28" s="18">
        <v>43646</v>
      </c>
      <c r="B28" s="18">
        <v>43646</v>
      </c>
      <c r="C28" s="11" t="s">
        <v>235</v>
      </c>
      <c r="D28" s="11" t="s">
        <v>145</v>
      </c>
      <c r="E28" s="13" t="s">
        <v>146</v>
      </c>
      <c r="F28" s="13" t="s">
        <v>233</v>
      </c>
      <c r="G28" s="19"/>
      <c r="H28" s="19">
        <v>575000</v>
      </c>
      <c r="I28" s="19">
        <v>-575000</v>
      </c>
      <c r="J28" s="20">
        <v>1</v>
      </c>
    </row>
    <row r="29" spans="1:10" x14ac:dyDescent="0.25">
      <c r="A29" s="18">
        <v>43646</v>
      </c>
      <c r="B29" s="18">
        <v>43646</v>
      </c>
      <c r="C29" s="11" t="s">
        <v>235</v>
      </c>
      <c r="D29" s="11" t="s">
        <v>209</v>
      </c>
      <c r="E29" s="13" t="s">
        <v>210</v>
      </c>
      <c r="F29" s="13" t="s">
        <v>234</v>
      </c>
      <c r="G29" s="19">
        <v>45000</v>
      </c>
      <c r="H29" s="19"/>
      <c r="I29" s="19">
        <v>45000</v>
      </c>
      <c r="J29" s="20">
        <v>1</v>
      </c>
    </row>
    <row r="30" spans="1:10" x14ac:dyDescent="0.25">
      <c r="A30" s="18">
        <v>43646</v>
      </c>
      <c r="B30" s="18">
        <v>43646</v>
      </c>
      <c r="C30" s="11" t="s">
        <v>235</v>
      </c>
      <c r="D30" s="11" t="s">
        <v>205</v>
      </c>
      <c r="E30" s="13" t="s">
        <v>206</v>
      </c>
      <c r="F30" s="13" t="s">
        <v>234</v>
      </c>
      <c r="G30" s="19">
        <v>30000</v>
      </c>
      <c r="H30" s="19"/>
      <c r="I30" s="19">
        <v>30000</v>
      </c>
      <c r="J30" s="20">
        <v>1</v>
      </c>
    </row>
    <row r="31" spans="1:10" x14ac:dyDescent="0.25">
      <c r="A31" s="18">
        <v>43646</v>
      </c>
      <c r="B31" s="18">
        <v>43646</v>
      </c>
      <c r="C31" s="11" t="s">
        <v>235</v>
      </c>
      <c r="D31" s="11" t="s">
        <v>207</v>
      </c>
      <c r="E31" s="13" t="s">
        <v>208</v>
      </c>
      <c r="F31" s="13" t="s">
        <v>234</v>
      </c>
      <c r="G31" s="19">
        <v>35000</v>
      </c>
      <c r="H31" s="19"/>
      <c r="I31" s="19">
        <v>35000</v>
      </c>
      <c r="J31" s="20">
        <v>1</v>
      </c>
    </row>
    <row r="32" spans="1:10" x14ac:dyDescent="0.25">
      <c r="A32" s="18">
        <v>43646</v>
      </c>
      <c r="B32" s="18">
        <v>43646</v>
      </c>
      <c r="C32" s="11" t="s">
        <v>235</v>
      </c>
      <c r="D32" s="11" t="s">
        <v>211</v>
      </c>
      <c r="E32" s="13" t="s">
        <v>212</v>
      </c>
      <c r="F32" s="13" t="s">
        <v>234</v>
      </c>
      <c r="G32" s="19">
        <v>5000</v>
      </c>
      <c r="H32" s="19"/>
      <c r="I32" s="19">
        <v>5000</v>
      </c>
      <c r="J32" s="20">
        <v>1</v>
      </c>
    </row>
    <row r="33" spans="1:10" x14ac:dyDescent="0.25">
      <c r="A33" s="18">
        <v>43646</v>
      </c>
      <c r="B33" s="18">
        <v>43646</v>
      </c>
      <c r="C33" s="11" t="s">
        <v>235</v>
      </c>
      <c r="D33" s="11" t="s">
        <v>215</v>
      </c>
      <c r="E33" s="13" t="s">
        <v>216</v>
      </c>
      <c r="F33" s="13" t="s">
        <v>234</v>
      </c>
      <c r="G33" s="19">
        <v>12000</v>
      </c>
      <c r="H33" s="19"/>
      <c r="I33" s="19">
        <v>12000</v>
      </c>
      <c r="J33" s="20">
        <v>1</v>
      </c>
    </row>
    <row r="34" spans="1:10" x14ac:dyDescent="0.25">
      <c r="A34" s="18">
        <v>43646</v>
      </c>
      <c r="B34" s="18">
        <v>43646</v>
      </c>
      <c r="C34" s="11" t="s">
        <v>235</v>
      </c>
      <c r="D34" s="11" t="s">
        <v>166</v>
      </c>
      <c r="E34" s="13" t="s">
        <v>167</v>
      </c>
      <c r="F34" s="13" t="s">
        <v>234</v>
      </c>
      <c r="G34" s="19"/>
      <c r="H34" s="19">
        <v>127000</v>
      </c>
      <c r="I34" s="19">
        <v>-127000</v>
      </c>
      <c r="J34" s="20">
        <v>1</v>
      </c>
    </row>
    <row r="35" spans="1:10" x14ac:dyDescent="0.25">
      <c r="A35" s="18">
        <v>43646</v>
      </c>
      <c r="B35" s="18">
        <v>43646</v>
      </c>
      <c r="C35" s="11" t="s">
        <v>235</v>
      </c>
      <c r="D35" s="11" t="s">
        <v>166</v>
      </c>
      <c r="E35" s="13" t="s">
        <v>167</v>
      </c>
      <c r="F35" s="13" t="s">
        <v>234</v>
      </c>
      <c r="G35" s="19">
        <v>127000</v>
      </c>
      <c r="H35" s="19"/>
      <c r="I35" s="19">
        <v>127000</v>
      </c>
      <c r="J35" s="20">
        <v>1</v>
      </c>
    </row>
    <row r="36" spans="1:10" x14ac:dyDescent="0.25">
      <c r="A36" s="18">
        <v>43646</v>
      </c>
      <c r="B36" s="18">
        <v>43646</v>
      </c>
      <c r="C36" s="11" t="s">
        <v>235</v>
      </c>
      <c r="D36" s="11" t="s">
        <v>145</v>
      </c>
      <c r="E36" s="13" t="s">
        <v>146</v>
      </c>
      <c r="F36" s="13" t="s">
        <v>234</v>
      </c>
      <c r="G36" s="19"/>
      <c r="H36" s="19">
        <v>127000</v>
      </c>
      <c r="I36" s="19">
        <v>-127000</v>
      </c>
      <c r="J36" s="20">
        <v>1</v>
      </c>
    </row>
    <row r="37" spans="1:10" x14ac:dyDescent="0.25">
      <c r="A37" s="18">
        <v>43646</v>
      </c>
      <c r="B37" s="18">
        <v>43646</v>
      </c>
      <c r="C37" s="11" t="s">
        <v>235</v>
      </c>
      <c r="D37" s="11" t="s">
        <v>151</v>
      </c>
      <c r="E37" s="13" t="s">
        <v>152</v>
      </c>
      <c r="F37" s="13" t="s">
        <v>236</v>
      </c>
      <c r="G37" s="19">
        <v>42000000</v>
      </c>
      <c r="H37" s="19"/>
      <c r="I37" s="19">
        <v>42000000</v>
      </c>
      <c r="J37" s="20">
        <v>1</v>
      </c>
    </row>
    <row r="38" spans="1:10" x14ac:dyDescent="0.25">
      <c r="A38" s="18">
        <v>43646</v>
      </c>
      <c r="B38" s="18">
        <v>43646</v>
      </c>
      <c r="C38" s="11" t="s">
        <v>235</v>
      </c>
      <c r="D38" s="11" t="s">
        <v>145</v>
      </c>
      <c r="E38" s="13" t="s">
        <v>146</v>
      </c>
      <c r="F38" s="13" t="s">
        <v>236</v>
      </c>
      <c r="G38" s="19"/>
      <c r="H38" s="19">
        <v>42000000</v>
      </c>
      <c r="I38" s="19">
        <v>-42000000</v>
      </c>
      <c r="J38" s="20">
        <v>1</v>
      </c>
    </row>
    <row r="39" spans="1:10" x14ac:dyDescent="0.25">
      <c r="A39" s="18">
        <v>43738</v>
      </c>
      <c r="B39" s="18">
        <v>43738</v>
      </c>
      <c r="C39" s="11" t="s">
        <v>237</v>
      </c>
      <c r="D39" s="11" t="s">
        <v>145</v>
      </c>
      <c r="E39" s="13" t="s">
        <v>146</v>
      </c>
      <c r="F39" s="13" t="s">
        <v>231</v>
      </c>
      <c r="G39" s="19">
        <v>700000</v>
      </c>
      <c r="H39" s="19"/>
      <c r="I39" s="19">
        <v>700000</v>
      </c>
      <c r="J39" s="20">
        <v>2</v>
      </c>
    </row>
    <row r="40" spans="1:10" x14ac:dyDescent="0.25">
      <c r="A40" s="18">
        <v>43738</v>
      </c>
      <c r="B40" s="18">
        <v>43738</v>
      </c>
      <c r="C40" s="11" t="s">
        <v>237</v>
      </c>
      <c r="D40" s="11" t="s">
        <v>176</v>
      </c>
      <c r="E40" s="13" t="s">
        <v>177</v>
      </c>
      <c r="F40" s="13" t="s">
        <v>231</v>
      </c>
      <c r="G40" s="19"/>
      <c r="H40" s="19">
        <v>700000</v>
      </c>
      <c r="I40" s="19">
        <v>-700000</v>
      </c>
      <c r="J40" s="20">
        <v>2</v>
      </c>
    </row>
    <row r="41" spans="1:10" x14ac:dyDescent="0.25">
      <c r="A41" s="18">
        <v>43738</v>
      </c>
      <c r="B41" s="18">
        <v>43738</v>
      </c>
      <c r="C41" s="11" t="s">
        <v>237</v>
      </c>
      <c r="D41" s="11" t="s">
        <v>196</v>
      </c>
      <c r="E41" s="13" t="s">
        <v>197</v>
      </c>
      <c r="F41" s="13" t="s">
        <v>233</v>
      </c>
      <c r="G41" s="19">
        <v>575000</v>
      </c>
      <c r="H41" s="19"/>
      <c r="I41" s="19">
        <v>575000</v>
      </c>
      <c r="J41" s="20">
        <v>2</v>
      </c>
    </row>
    <row r="42" spans="1:10" x14ac:dyDescent="0.25">
      <c r="A42" s="18">
        <v>43738</v>
      </c>
      <c r="B42" s="18">
        <v>43738</v>
      </c>
      <c r="C42" s="11" t="s">
        <v>237</v>
      </c>
      <c r="D42" s="11" t="s">
        <v>170</v>
      </c>
      <c r="E42" s="13" t="s">
        <v>171</v>
      </c>
      <c r="F42" s="13" t="s">
        <v>233</v>
      </c>
      <c r="G42" s="19"/>
      <c r="H42" s="19">
        <v>575000</v>
      </c>
      <c r="I42" s="19">
        <v>-575000</v>
      </c>
      <c r="J42" s="20">
        <v>2</v>
      </c>
    </row>
    <row r="43" spans="1:10" x14ac:dyDescent="0.25">
      <c r="A43" s="18">
        <v>43738</v>
      </c>
      <c r="B43" s="18">
        <v>43738</v>
      </c>
      <c r="C43" s="11" t="s">
        <v>237</v>
      </c>
      <c r="D43" s="11" t="s">
        <v>170</v>
      </c>
      <c r="E43" s="13" t="s">
        <v>171</v>
      </c>
      <c r="F43" s="13" t="s">
        <v>233</v>
      </c>
      <c r="G43" s="19">
        <v>575000</v>
      </c>
      <c r="H43" s="19"/>
      <c r="I43" s="19">
        <v>575000</v>
      </c>
      <c r="J43" s="20">
        <v>2</v>
      </c>
    </row>
    <row r="44" spans="1:10" x14ac:dyDescent="0.25">
      <c r="A44" s="18">
        <v>43738</v>
      </c>
      <c r="B44" s="18">
        <v>43738</v>
      </c>
      <c r="C44" s="11" t="s">
        <v>237</v>
      </c>
      <c r="D44" s="11" t="s">
        <v>145</v>
      </c>
      <c r="E44" s="13" t="s">
        <v>146</v>
      </c>
      <c r="F44" s="13" t="s">
        <v>233</v>
      </c>
      <c r="G44" s="19"/>
      <c r="H44" s="19">
        <v>575000</v>
      </c>
      <c r="I44" s="19">
        <v>-575000</v>
      </c>
      <c r="J44" s="20">
        <v>2</v>
      </c>
    </row>
    <row r="45" spans="1:10" x14ac:dyDescent="0.25">
      <c r="A45" s="18">
        <v>43738</v>
      </c>
      <c r="B45" s="18">
        <v>43738</v>
      </c>
      <c r="C45" s="11" t="s">
        <v>237</v>
      </c>
      <c r="D45" s="11" t="s">
        <v>209</v>
      </c>
      <c r="E45" s="13" t="s">
        <v>210</v>
      </c>
      <c r="F45" s="13" t="s">
        <v>234</v>
      </c>
      <c r="G45" s="19">
        <v>45000</v>
      </c>
      <c r="H45" s="19"/>
      <c r="I45" s="19">
        <v>45000</v>
      </c>
      <c r="J45" s="20">
        <v>2</v>
      </c>
    </row>
    <row r="46" spans="1:10" x14ac:dyDescent="0.25">
      <c r="A46" s="18">
        <v>43738</v>
      </c>
      <c r="B46" s="18">
        <v>43738</v>
      </c>
      <c r="C46" s="11" t="s">
        <v>237</v>
      </c>
      <c r="D46" s="11" t="s">
        <v>205</v>
      </c>
      <c r="E46" s="13" t="s">
        <v>206</v>
      </c>
      <c r="F46" s="13" t="s">
        <v>234</v>
      </c>
      <c r="G46" s="19">
        <v>30000</v>
      </c>
      <c r="H46" s="19"/>
      <c r="I46" s="19">
        <v>30000</v>
      </c>
      <c r="J46" s="20">
        <v>2</v>
      </c>
    </row>
    <row r="47" spans="1:10" x14ac:dyDescent="0.25">
      <c r="A47" s="18">
        <v>43738</v>
      </c>
      <c r="B47" s="18">
        <v>43738</v>
      </c>
      <c r="C47" s="11" t="s">
        <v>237</v>
      </c>
      <c r="D47" s="11" t="s">
        <v>207</v>
      </c>
      <c r="E47" s="13" t="s">
        <v>208</v>
      </c>
      <c r="F47" s="13" t="s">
        <v>234</v>
      </c>
      <c r="G47" s="19">
        <v>35000</v>
      </c>
      <c r="H47" s="19"/>
      <c r="I47" s="19">
        <v>35000</v>
      </c>
      <c r="J47" s="20">
        <v>2</v>
      </c>
    </row>
    <row r="48" spans="1:10" x14ac:dyDescent="0.25">
      <c r="A48" s="18">
        <v>43738</v>
      </c>
      <c r="B48" s="18">
        <v>43738</v>
      </c>
      <c r="C48" s="11" t="s">
        <v>237</v>
      </c>
      <c r="D48" s="11" t="s">
        <v>211</v>
      </c>
      <c r="E48" s="13" t="s">
        <v>212</v>
      </c>
      <c r="F48" s="13" t="s">
        <v>234</v>
      </c>
      <c r="G48" s="19">
        <v>5000</v>
      </c>
      <c r="H48" s="19"/>
      <c r="I48" s="19">
        <v>5000</v>
      </c>
      <c r="J48" s="20">
        <v>2</v>
      </c>
    </row>
    <row r="49" spans="1:10" x14ac:dyDescent="0.25">
      <c r="A49" s="18">
        <v>43738</v>
      </c>
      <c r="B49" s="18">
        <v>43738</v>
      </c>
      <c r="C49" s="11" t="s">
        <v>237</v>
      </c>
      <c r="D49" s="11" t="s">
        <v>215</v>
      </c>
      <c r="E49" s="13" t="s">
        <v>216</v>
      </c>
      <c r="F49" s="13" t="s">
        <v>234</v>
      </c>
      <c r="G49" s="19">
        <v>12000</v>
      </c>
      <c r="H49" s="19"/>
      <c r="I49" s="19">
        <v>12000</v>
      </c>
      <c r="J49" s="20">
        <v>2</v>
      </c>
    </row>
    <row r="50" spans="1:10" x14ac:dyDescent="0.25">
      <c r="A50" s="18">
        <v>43738</v>
      </c>
      <c r="B50" s="18">
        <v>43738</v>
      </c>
      <c r="C50" s="11" t="s">
        <v>237</v>
      </c>
      <c r="D50" s="11" t="s">
        <v>166</v>
      </c>
      <c r="E50" s="13" t="s">
        <v>167</v>
      </c>
      <c r="F50" s="13" t="s">
        <v>234</v>
      </c>
      <c r="G50" s="19"/>
      <c r="H50" s="19">
        <v>127000</v>
      </c>
      <c r="I50" s="19">
        <v>-127000</v>
      </c>
      <c r="J50" s="20">
        <v>2</v>
      </c>
    </row>
    <row r="51" spans="1:10" x14ac:dyDescent="0.25">
      <c r="A51" s="18">
        <v>43738</v>
      </c>
      <c r="B51" s="18">
        <v>43738</v>
      </c>
      <c r="C51" s="11" t="s">
        <v>237</v>
      </c>
      <c r="D51" s="11" t="s">
        <v>166</v>
      </c>
      <c r="E51" s="13" t="s">
        <v>167</v>
      </c>
      <c r="F51" s="13" t="s">
        <v>234</v>
      </c>
      <c r="G51" s="19">
        <v>127000</v>
      </c>
      <c r="H51" s="19"/>
      <c r="I51" s="19">
        <v>127000</v>
      </c>
      <c r="J51" s="20">
        <v>2</v>
      </c>
    </row>
    <row r="52" spans="1:10" x14ac:dyDescent="0.25">
      <c r="A52" s="18">
        <v>43738</v>
      </c>
      <c r="B52" s="18">
        <v>43738</v>
      </c>
      <c r="C52" s="11" t="s">
        <v>237</v>
      </c>
      <c r="D52" s="11" t="s">
        <v>145</v>
      </c>
      <c r="E52" s="13" t="s">
        <v>146</v>
      </c>
      <c r="F52" s="13" t="s">
        <v>234</v>
      </c>
      <c r="G52" s="19"/>
      <c r="H52" s="19">
        <v>127000</v>
      </c>
      <c r="I52" s="19">
        <v>-127000</v>
      </c>
      <c r="J52" s="20">
        <v>2</v>
      </c>
    </row>
    <row r="53" spans="1:10" x14ac:dyDescent="0.25">
      <c r="A53" s="18">
        <v>43830</v>
      </c>
      <c r="B53" s="18">
        <v>43830</v>
      </c>
      <c r="C53" s="11" t="s">
        <v>238</v>
      </c>
      <c r="D53" s="11" t="s">
        <v>145</v>
      </c>
      <c r="E53" s="13" t="s">
        <v>146</v>
      </c>
      <c r="F53" s="13" t="s">
        <v>239</v>
      </c>
      <c r="G53" s="19">
        <v>16141000.91</v>
      </c>
      <c r="H53" s="19"/>
      <c r="I53" s="19">
        <v>16141000.91</v>
      </c>
      <c r="J53" s="20">
        <v>3</v>
      </c>
    </row>
    <row r="54" spans="1:10" x14ac:dyDescent="0.25">
      <c r="A54" s="18">
        <v>43830</v>
      </c>
      <c r="B54" s="18">
        <v>43830</v>
      </c>
      <c r="C54" s="11" t="s">
        <v>238</v>
      </c>
      <c r="D54" s="11" t="s">
        <v>176</v>
      </c>
      <c r="E54" s="13" t="s">
        <v>177</v>
      </c>
      <c r="F54" s="13" t="s">
        <v>239</v>
      </c>
      <c r="G54" s="19"/>
      <c r="H54" s="19">
        <v>16141000.91</v>
      </c>
      <c r="I54" s="19">
        <v>-16141000.91</v>
      </c>
      <c r="J54" s="20">
        <v>3</v>
      </c>
    </row>
    <row r="55" spans="1:10" x14ac:dyDescent="0.25">
      <c r="A55" s="18">
        <v>43830</v>
      </c>
      <c r="B55" s="18">
        <v>43830</v>
      </c>
      <c r="C55" s="11" t="s">
        <v>238</v>
      </c>
      <c r="D55" s="11" t="s">
        <v>176</v>
      </c>
      <c r="E55" s="13" t="s">
        <v>177</v>
      </c>
      <c r="F55" s="13" t="s">
        <v>239</v>
      </c>
      <c r="G55" s="19">
        <v>16141000.91</v>
      </c>
      <c r="H55" s="19"/>
      <c r="I55" s="19">
        <v>16141000.91</v>
      </c>
      <c r="J55" s="20">
        <v>3</v>
      </c>
    </row>
    <row r="56" spans="1:10" x14ac:dyDescent="0.25">
      <c r="A56" s="18">
        <v>43830</v>
      </c>
      <c r="B56" s="18">
        <v>43830</v>
      </c>
      <c r="C56" s="11" t="s">
        <v>238</v>
      </c>
      <c r="D56" s="11" t="s">
        <v>145</v>
      </c>
      <c r="E56" s="13" t="s">
        <v>146</v>
      </c>
      <c r="F56" s="13" t="s">
        <v>239</v>
      </c>
      <c r="G56" s="19"/>
      <c r="H56" s="19">
        <v>16141000.91</v>
      </c>
      <c r="I56" s="19">
        <v>-16141000.91</v>
      </c>
      <c r="J56" s="20">
        <v>3</v>
      </c>
    </row>
    <row r="57" spans="1:10" x14ac:dyDescent="0.25">
      <c r="A57" s="18">
        <v>43830</v>
      </c>
      <c r="B57" s="18">
        <v>43830</v>
      </c>
      <c r="C57" s="11" t="s">
        <v>238</v>
      </c>
      <c r="D57" s="11" t="s">
        <v>145</v>
      </c>
      <c r="E57" s="13" t="s">
        <v>146</v>
      </c>
      <c r="F57" s="13" t="s">
        <v>231</v>
      </c>
      <c r="G57" s="19">
        <v>1000000</v>
      </c>
      <c r="H57" s="19"/>
      <c r="I57" s="19">
        <v>1000000</v>
      </c>
      <c r="J57" s="20">
        <v>3</v>
      </c>
    </row>
    <row r="58" spans="1:10" x14ac:dyDescent="0.25">
      <c r="A58" s="18">
        <v>43830</v>
      </c>
      <c r="B58" s="18">
        <v>43830</v>
      </c>
      <c r="C58" s="11" t="s">
        <v>238</v>
      </c>
      <c r="D58" s="11" t="s">
        <v>176</v>
      </c>
      <c r="E58" s="13" t="s">
        <v>177</v>
      </c>
      <c r="F58" s="13" t="s">
        <v>231</v>
      </c>
      <c r="G58" s="19"/>
      <c r="H58" s="19">
        <v>1000000</v>
      </c>
      <c r="I58" s="19">
        <v>-1000000</v>
      </c>
      <c r="J58" s="20">
        <v>3</v>
      </c>
    </row>
    <row r="59" spans="1:10" x14ac:dyDescent="0.25">
      <c r="A59" s="18">
        <v>43830</v>
      </c>
      <c r="B59" s="18">
        <v>43830</v>
      </c>
      <c r="C59" s="11" t="s">
        <v>238</v>
      </c>
      <c r="D59" s="11" t="s">
        <v>196</v>
      </c>
      <c r="E59" s="13" t="s">
        <v>197</v>
      </c>
      <c r="F59" s="13" t="s">
        <v>233</v>
      </c>
      <c r="G59" s="19">
        <v>875000</v>
      </c>
      <c r="H59" s="19"/>
      <c r="I59" s="19">
        <v>875000</v>
      </c>
      <c r="J59" s="20">
        <v>3</v>
      </c>
    </row>
    <row r="60" spans="1:10" x14ac:dyDescent="0.25">
      <c r="A60" s="18">
        <v>43830</v>
      </c>
      <c r="B60" s="18">
        <v>43830</v>
      </c>
      <c r="C60" s="11" t="s">
        <v>238</v>
      </c>
      <c r="D60" s="11" t="s">
        <v>170</v>
      </c>
      <c r="E60" s="13" t="s">
        <v>171</v>
      </c>
      <c r="F60" s="13" t="s">
        <v>233</v>
      </c>
      <c r="G60" s="19"/>
      <c r="H60" s="19">
        <v>875000</v>
      </c>
      <c r="I60" s="19">
        <v>-875000</v>
      </c>
      <c r="J60" s="20">
        <v>3</v>
      </c>
    </row>
    <row r="61" spans="1:10" x14ac:dyDescent="0.25">
      <c r="A61" s="18">
        <v>43830</v>
      </c>
      <c r="B61" s="18">
        <v>43830</v>
      </c>
      <c r="C61" s="11" t="s">
        <v>238</v>
      </c>
      <c r="D61" s="11" t="s">
        <v>170</v>
      </c>
      <c r="E61" s="13" t="s">
        <v>171</v>
      </c>
      <c r="F61" s="13" t="s">
        <v>233</v>
      </c>
      <c r="G61" s="19">
        <v>875000</v>
      </c>
      <c r="H61" s="19"/>
      <c r="I61" s="19">
        <v>875000</v>
      </c>
      <c r="J61" s="20">
        <v>3</v>
      </c>
    </row>
    <row r="62" spans="1:10" x14ac:dyDescent="0.25">
      <c r="A62" s="18">
        <v>43830</v>
      </c>
      <c r="B62" s="18">
        <v>43830</v>
      </c>
      <c r="C62" s="11" t="s">
        <v>238</v>
      </c>
      <c r="D62" s="11" t="s">
        <v>145</v>
      </c>
      <c r="E62" s="13" t="s">
        <v>146</v>
      </c>
      <c r="F62" s="13" t="s">
        <v>233</v>
      </c>
      <c r="G62" s="19"/>
      <c r="H62" s="19">
        <v>875000</v>
      </c>
      <c r="I62" s="19">
        <v>-875000</v>
      </c>
      <c r="J62" s="20">
        <v>3</v>
      </c>
    </row>
    <row r="63" spans="1:10" x14ac:dyDescent="0.25">
      <c r="A63" s="18">
        <v>43830</v>
      </c>
      <c r="B63" s="18">
        <v>43830</v>
      </c>
      <c r="C63" s="11" t="s">
        <v>238</v>
      </c>
      <c r="D63" s="11" t="s">
        <v>209</v>
      </c>
      <c r="E63" s="13" t="s">
        <v>210</v>
      </c>
      <c r="F63" s="13" t="s">
        <v>234</v>
      </c>
      <c r="G63" s="19">
        <v>45000</v>
      </c>
      <c r="H63" s="19"/>
      <c r="I63" s="19">
        <v>45000</v>
      </c>
      <c r="J63" s="20">
        <v>3</v>
      </c>
    </row>
    <row r="64" spans="1:10" x14ac:dyDescent="0.25">
      <c r="A64" s="18">
        <v>43830</v>
      </c>
      <c r="B64" s="18">
        <v>43830</v>
      </c>
      <c r="C64" s="11" t="s">
        <v>238</v>
      </c>
      <c r="D64" s="11" t="s">
        <v>205</v>
      </c>
      <c r="E64" s="13" t="s">
        <v>206</v>
      </c>
      <c r="F64" s="13" t="s">
        <v>234</v>
      </c>
      <c r="G64" s="19">
        <v>30000</v>
      </c>
      <c r="H64" s="19"/>
      <c r="I64" s="19">
        <v>30000</v>
      </c>
      <c r="J64" s="20">
        <v>3</v>
      </c>
    </row>
    <row r="65" spans="1:10" x14ac:dyDescent="0.25">
      <c r="A65" s="18">
        <v>43830</v>
      </c>
      <c r="B65" s="18">
        <v>43830</v>
      </c>
      <c r="C65" s="11" t="s">
        <v>238</v>
      </c>
      <c r="D65" s="11" t="s">
        <v>207</v>
      </c>
      <c r="E65" s="13" t="s">
        <v>208</v>
      </c>
      <c r="F65" s="13" t="s">
        <v>234</v>
      </c>
      <c r="G65" s="19">
        <v>35000</v>
      </c>
      <c r="H65" s="19"/>
      <c r="I65" s="19">
        <v>35000</v>
      </c>
      <c r="J65" s="20">
        <v>3</v>
      </c>
    </row>
    <row r="66" spans="1:10" x14ac:dyDescent="0.25">
      <c r="A66" s="18">
        <v>43830</v>
      </c>
      <c r="B66" s="18">
        <v>43830</v>
      </c>
      <c r="C66" s="11" t="s">
        <v>238</v>
      </c>
      <c r="D66" s="11" t="s">
        <v>211</v>
      </c>
      <c r="E66" s="13" t="s">
        <v>212</v>
      </c>
      <c r="F66" s="13" t="s">
        <v>234</v>
      </c>
      <c r="G66" s="19">
        <v>5000</v>
      </c>
      <c r="H66" s="19"/>
      <c r="I66" s="19">
        <v>5000</v>
      </c>
      <c r="J66" s="20">
        <v>3</v>
      </c>
    </row>
    <row r="67" spans="1:10" x14ac:dyDescent="0.25">
      <c r="A67" s="18">
        <v>43830</v>
      </c>
      <c r="B67" s="18">
        <v>43830</v>
      </c>
      <c r="C67" s="11" t="s">
        <v>238</v>
      </c>
      <c r="D67" s="11" t="s">
        <v>215</v>
      </c>
      <c r="E67" s="13" t="s">
        <v>216</v>
      </c>
      <c r="F67" s="13" t="s">
        <v>234</v>
      </c>
      <c r="G67" s="19">
        <v>12000</v>
      </c>
      <c r="H67" s="19"/>
      <c r="I67" s="19">
        <v>12000</v>
      </c>
      <c r="J67" s="20">
        <v>3</v>
      </c>
    </row>
    <row r="68" spans="1:10" x14ac:dyDescent="0.25">
      <c r="A68" s="18">
        <v>43830</v>
      </c>
      <c r="B68" s="18">
        <v>43830</v>
      </c>
      <c r="C68" s="11" t="s">
        <v>238</v>
      </c>
      <c r="D68" s="11" t="s">
        <v>166</v>
      </c>
      <c r="E68" s="13" t="s">
        <v>167</v>
      </c>
      <c r="F68" s="13" t="s">
        <v>234</v>
      </c>
      <c r="G68" s="19"/>
      <c r="H68" s="19">
        <v>127000</v>
      </c>
      <c r="I68" s="19">
        <v>-127000</v>
      </c>
      <c r="J68" s="20">
        <v>3</v>
      </c>
    </row>
    <row r="69" spans="1:10" x14ac:dyDescent="0.25">
      <c r="A69" s="18">
        <v>43830</v>
      </c>
      <c r="B69" s="18">
        <v>43830</v>
      </c>
      <c r="C69" s="11" t="s">
        <v>238</v>
      </c>
      <c r="D69" s="11" t="s">
        <v>166</v>
      </c>
      <c r="E69" s="13" t="s">
        <v>167</v>
      </c>
      <c r="F69" s="13" t="s">
        <v>234</v>
      </c>
      <c r="G69" s="19">
        <v>127000</v>
      </c>
      <c r="H69" s="19"/>
      <c r="I69" s="19">
        <v>127000</v>
      </c>
      <c r="J69" s="20">
        <v>3</v>
      </c>
    </row>
    <row r="70" spans="1:10" x14ac:dyDescent="0.25">
      <c r="A70" s="18">
        <v>43830</v>
      </c>
      <c r="B70" s="18">
        <v>43830</v>
      </c>
      <c r="C70" s="11" t="s">
        <v>238</v>
      </c>
      <c r="D70" s="11" t="s">
        <v>145</v>
      </c>
      <c r="E70" s="13" t="s">
        <v>146</v>
      </c>
      <c r="F70" s="13" t="s">
        <v>234</v>
      </c>
      <c r="G70" s="19"/>
      <c r="H70" s="19">
        <v>127000</v>
      </c>
      <c r="I70" s="19">
        <v>-127000</v>
      </c>
      <c r="J70" s="20">
        <v>3</v>
      </c>
    </row>
    <row r="71" spans="1:10" x14ac:dyDescent="0.25">
      <c r="A71" s="18">
        <v>43830</v>
      </c>
      <c r="B71" s="18">
        <v>43830</v>
      </c>
      <c r="C71" s="11" t="s">
        <v>238</v>
      </c>
      <c r="D71" s="11" t="s">
        <v>153</v>
      </c>
      <c r="E71" s="13" t="s">
        <v>154</v>
      </c>
      <c r="F71" s="13" t="s">
        <v>240</v>
      </c>
      <c r="G71" s="19">
        <v>1500000</v>
      </c>
      <c r="H71" s="19"/>
      <c r="I71" s="19">
        <v>1500000</v>
      </c>
      <c r="J71" s="20">
        <v>3</v>
      </c>
    </row>
    <row r="72" spans="1:10" x14ac:dyDescent="0.25">
      <c r="A72" s="18">
        <v>43830</v>
      </c>
      <c r="B72" s="18">
        <v>43830</v>
      </c>
      <c r="C72" s="11" t="s">
        <v>238</v>
      </c>
      <c r="D72" s="11" t="s">
        <v>219</v>
      </c>
      <c r="E72" s="13" t="s">
        <v>220</v>
      </c>
      <c r="F72" s="13" t="s">
        <v>240</v>
      </c>
      <c r="G72" s="19"/>
      <c r="H72" s="19">
        <v>1500000</v>
      </c>
      <c r="I72" s="19">
        <v>-1500000</v>
      </c>
      <c r="J72" s="20">
        <v>3</v>
      </c>
    </row>
    <row r="73" spans="1:10" x14ac:dyDescent="0.25">
      <c r="A73" s="18">
        <v>43921</v>
      </c>
      <c r="B73" s="18">
        <v>43921</v>
      </c>
      <c r="C73" s="11" t="s">
        <v>241</v>
      </c>
      <c r="D73" s="11" t="s">
        <v>145</v>
      </c>
      <c r="E73" s="13" t="s">
        <v>146</v>
      </c>
      <c r="F73" s="13" t="s">
        <v>231</v>
      </c>
      <c r="G73" s="19">
        <v>31000000</v>
      </c>
      <c r="H73" s="19"/>
      <c r="I73" s="19">
        <v>31000000</v>
      </c>
      <c r="J73" s="20">
        <v>4</v>
      </c>
    </row>
    <row r="74" spans="1:10" x14ac:dyDescent="0.25">
      <c r="A74" s="18">
        <v>43921</v>
      </c>
      <c r="B74" s="18">
        <v>43921</v>
      </c>
      <c r="C74" s="11" t="s">
        <v>241</v>
      </c>
      <c r="D74" s="11" t="s">
        <v>176</v>
      </c>
      <c r="E74" s="13" t="s">
        <v>177</v>
      </c>
      <c r="F74" s="13" t="s">
        <v>231</v>
      </c>
      <c r="G74" s="19"/>
      <c r="H74" s="19">
        <v>31000000</v>
      </c>
      <c r="I74" s="19">
        <v>-31000000</v>
      </c>
      <c r="J74" s="20">
        <v>4</v>
      </c>
    </row>
    <row r="75" spans="1:10" x14ac:dyDescent="0.25">
      <c r="A75" s="18">
        <v>43921</v>
      </c>
      <c r="B75" s="18">
        <v>43921</v>
      </c>
      <c r="C75" s="11" t="s">
        <v>241</v>
      </c>
      <c r="D75" s="11" t="s">
        <v>196</v>
      </c>
      <c r="E75" s="13" t="s">
        <v>197</v>
      </c>
      <c r="F75" s="13" t="s">
        <v>233</v>
      </c>
      <c r="G75" s="19">
        <v>875000</v>
      </c>
      <c r="H75" s="19"/>
      <c r="I75" s="19">
        <v>875000</v>
      </c>
      <c r="J75" s="20">
        <v>4</v>
      </c>
    </row>
    <row r="76" spans="1:10" x14ac:dyDescent="0.25">
      <c r="A76" s="18">
        <v>43921</v>
      </c>
      <c r="B76" s="18">
        <v>43921</v>
      </c>
      <c r="C76" s="11" t="s">
        <v>241</v>
      </c>
      <c r="D76" s="11" t="s">
        <v>170</v>
      </c>
      <c r="E76" s="13" t="s">
        <v>171</v>
      </c>
      <c r="F76" s="13" t="s">
        <v>233</v>
      </c>
      <c r="G76" s="19"/>
      <c r="H76" s="19">
        <v>875000</v>
      </c>
      <c r="I76" s="19">
        <v>-875000</v>
      </c>
      <c r="J76" s="20">
        <v>4</v>
      </c>
    </row>
    <row r="77" spans="1:10" x14ac:dyDescent="0.25">
      <c r="A77" s="18">
        <v>43921</v>
      </c>
      <c r="B77" s="18">
        <v>43921</v>
      </c>
      <c r="C77" s="11" t="s">
        <v>241</v>
      </c>
      <c r="D77" s="11" t="s">
        <v>170</v>
      </c>
      <c r="E77" s="13" t="s">
        <v>171</v>
      </c>
      <c r="F77" s="13" t="s">
        <v>233</v>
      </c>
      <c r="G77" s="19">
        <v>875000</v>
      </c>
      <c r="H77" s="19"/>
      <c r="I77" s="19">
        <v>875000</v>
      </c>
      <c r="J77" s="20">
        <v>4</v>
      </c>
    </row>
    <row r="78" spans="1:10" x14ac:dyDescent="0.25">
      <c r="A78" s="18">
        <v>43921</v>
      </c>
      <c r="B78" s="18">
        <v>43921</v>
      </c>
      <c r="C78" s="11" t="s">
        <v>241</v>
      </c>
      <c r="D78" s="11" t="s">
        <v>145</v>
      </c>
      <c r="E78" s="13" t="s">
        <v>146</v>
      </c>
      <c r="F78" s="13" t="s">
        <v>233</v>
      </c>
      <c r="G78" s="19"/>
      <c r="H78" s="19">
        <v>875000</v>
      </c>
      <c r="I78" s="19">
        <v>-875000</v>
      </c>
      <c r="J78" s="20">
        <v>4</v>
      </c>
    </row>
    <row r="79" spans="1:10" x14ac:dyDescent="0.25">
      <c r="A79" s="18">
        <v>43921</v>
      </c>
      <c r="B79" s="18">
        <v>43921</v>
      </c>
      <c r="C79" s="11" t="s">
        <v>241</v>
      </c>
      <c r="D79" s="11" t="s">
        <v>209</v>
      </c>
      <c r="E79" s="13" t="s">
        <v>210</v>
      </c>
      <c r="F79" s="13" t="s">
        <v>234</v>
      </c>
      <c r="G79" s="19">
        <v>62500</v>
      </c>
      <c r="H79" s="19"/>
      <c r="I79" s="19">
        <v>62500</v>
      </c>
      <c r="J79" s="20">
        <v>4</v>
      </c>
    </row>
    <row r="80" spans="1:10" x14ac:dyDescent="0.25">
      <c r="A80" s="18">
        <v>43921</v>
      </c>
      <c r="B80" s="18">
        <v>43921</v>
      </c>
      <c r="C80" s="11" t="s">
        <v>241</v>
      </c>
      <c r="D80" s="11" t="s">
        <v>205</v>
      </c>
      <c r="E80" s="13" t="s">
        <v>206</v>
      </c>
      <c r="F80" s="13" t="s">
        <v>234</v>
      </c>
      <c r="G80" s="19">
        <v>45000</v>
      </c>
      <c r="H80" s="19"/>
      <c r="I80" s="19">
        <v>45000</v>
      </c>
      <c r="J80" s="20">
        <v>4</v>
      </c>
    </row>
    <row r="81" spans="1:10" x14ac:dyDescent="0.25">
      <c r="A81" s="18">
        <v>43921</v>
      </c>
      <c r="B81" s="18">
        <v>43921</v>
      </c>
      <c r="C81" s="11" t="s">
        <v>241</v>
      </c>
      <c r="D81" s="11" t="s">
        <v>207</v>
      </c>
      <c r="E81" s="13" t="s">
        <v>208</v>
      </c>
      <c r="F81" s="13" t="s">
        <v>234</v>
      </c>
      <c r="G81" s="19">
        <v>18000</v>
      </c>
      <c r="H81" s="19"/>
      <c r="I81" s="19">
        <v>18000</v>
      </c>
      <c r="J81" s="20">
        <v>4</v>
      </c>
    </row>
    <row r="82" spans="1:10" x14ac:dyDescent="0.25">
      <c r="A82" s="18">
        <v>43921</v>
      </c>
      <c r="B82" s="18">
        <v>43921</v>
      </c>
      <c r="C82" s="11" t="s">
        <v>241</v>
      </c>
      <c r="D82" s="11" t="s">
        <v>211</v>
      </c>
      <c r="E82" s="13" t="s">
        <v>212</v>
      </c>
      <c r="F82" s="13" t="s">
        <v>234</v>
      </c>
      <c r="G82" s="19">
        <v>7500</v>
      </c>
      <c r="H82" s="19"/>
      <c r="I82" s="19">
        <v>7500</v>
      </c>
      <c r="J82" s="20">
        <v>4</v>
      </c>
    </row>
    <row r="83" spans="1:10" x14ac:dyDescent="0.25">
      <c r="A83" s="18">
        <v>43921</v>
      </c>
      <c r="B83" s="18">
        <v>43921</v>
      </c>
      <c r="C83" s="11" t="s">
        <v>241</v>
      </c>
      <c r="D83" s="11" t="s">
        <v>215</v>
      </c>
      <c r="E83" s="13" t="s">
        <v>216</v>
      </c>
      <c r="F83" s="13" t="s">
        <v>234</v>
      </c>
      <c r="G83" s="19">
        <v>9000</v>
      </c>
      <c r="H83" s="19"/>
      <c r="I83" s="19">
        <v>9000</v>
      </c>
      <c r="J83" s="20">
        <v>4</v>
      </c>
    </row>
    <row r="84" spans="1:10" x14ac:dyDescent="0.25">
      <c r="A84" s="18">
        <v>43921</v>
      </c>
      <c r="B84" s="18">
        <v>43921</v>
      </c>
      <c r="C84" s="11" t="s">
        <v>241</v>
      </c>
      <c r="D84" s="11" t="s">
        <v>166</v>
      </c>
      <c r="E84" s="13" t="s">
        <v>167</v>
      </c>
      <c r="F84" s="13" t="s">
        <v>234</v>
      </c>
      <c r="G84" s="19"/>
      <c r="H84" s="19">
        <v>142000</v>
      </c>
      <c r="I84" s="19">
        <v>-142000</v>
      </c>
      <c r="J84" s="20">
        <v>4</v>
      </c>
    </row>
    <row r="85" spans="1:10" x14ac:dyDescent="0.25">
      <c r="A85" s="18">
        <v>43921</v>
      </c>
      <c r="B85" s="18">
        <v>43921</v>
      </c>
      <c r="C85" s="11" t="s">
        <v>241</v>
      </c>
      <c r="D85" s="11" t="s">
        <v>166</v>
      </c>
      <c r="E85" s="13" t="s">
        <v>167</v>
      </c>
      <c r="F85" s="13" t="s">
        <v>234</v>
      </c>
      <c r="G85" s="19">
        <v>142000</v>
      </c>
      <c r="H85" s="19"/>
      <c r="I85" s="19">
        <v>142000</v>
      </c>
      <c r="J85" s="20">
        <v>4</v>
      </c>
    </row>
    <row r="86" spans="1:10" x14ac:dyDescent="0.25">
      <c r="A86" s="18">
        <v>43921</v>
      </c>
      <c r="B86" s="18">
        <v>43921</v>
      </c>
      <c r="C86" s="11" t="s">
        <v>241</v>
      </c>
      <c r="D86" s="11" t="s">
        <v>145</v>
      </c>
      <c r="E86" s="13" t="s">
        <v>146</v>
      </c>
      <c r="F86" s="13" t="s">
        <v>234</v>
      </c>
      <c r="G86" s="19"/>
      <c r="H86" s="19">
        <v>142000</v>
      </c>
      <c r="I86" s="19">
        <v>-142000</v>
      </c>
      <c r="J86" s="20">
        <v>4</v>
      </c>
    </row>
    <row r="87" spans="1:10" x14ac:dyDescent="0.25">
      <c r="A87" s="18">
        <v>43921</v>
      </c>
      <c r="B87" s="18">
        <v>43921</v>
      </c>
      <c r="C87" s="11" t="s">
        <v>241</v>
      </c>
      <c r="D87" s="11" t="s">
        <v>151</v>
      </c>
      <c r="E87" s="13" t="s">
        <v>152</v>
      </c>
      <c r="F87" s="13" t="s">
        <v>236</v>
      </c>
      <c r="G87" s="19">
        <v>30000000</v>
      </c>
      <c r="H87" s="19"/>
      <c r="I87" s="19">
        <v>30000000</v>
      </c>
      <c r="J87" s="20">
        <v>4</v>
      </c>
    </row>
    <row r="88" spans="1:10" x14ac:dyDescent="0.25">
      <c r="A88" s="18">
        <v>43921</v>
      </c>
      <c r="B88" s="18">
        <v>43921</v>
      </c>
      <c r="C88" s="11" t="s">
        <v>241</v>
      </c>
      <c r="D88" s="11" t="s">
        <v>145</v>
      </c>
      <c r="E88" s="13" t="s">
        <v>146</v>
      </c>
      <c r="F88" s="13" t="s">
        <v>236</v>
      </c>
      <c r="G88" s="19"/>
      <c r="H88" s="19">
        <v>30000000</v>
      </c>
      <c r="I88" s="19">
        <v>-30000000</v>
      </c>
      <c r="J88" s="20">
        <v>4</v>
      </c>
    </row>
    <row r="89" spans="1:10" x14ac:dyDescent="0.25">
      <c r="A89" s="18">
        <v>44012</v>
      </c>
      <c r="B89" s="18">
        <v>44012</v>
      </c>
      <c r="C89" s="11" t="s">
        <v>242</v>
      </c>
      <c r="D89" s="11" t="s">
        <v>145</v>
      </c>
      <c r="E89" s="13" t="s">
        <v>146</v>
      </c>
      <c r="F89" s="13" t="s">
        <v>239</v>
      </c>
      <c r="G89" s="19">
        <v>23222107.620000001</v>
      </c>
      <c r="H89" s="19"/>
      <c r="I89" s="19">
        <v>23222107.620000001</v>
      </c>
      <c r="J89" s="20">
        <v>5</v>
      </c>
    </row>
    <row r="90" spans="1:10" x14ac:dyDescent="0.25">
      <c r="A90" s="18">
        <v>44012</v>
      </c>
      <c r="B90" s="18">
        <v>44012</v>
      </c>
      <c r="C90" s="11" t="s">
        <v>242</v>
      </c>
      <c r="D90" s="11" t="s">
        <v>176</v>
      </c>
      <c r="E90" s="13" t="s">
        <v>177</v>
      </c>
      <c r="F90" s="13" t="s">
        <v>239</v>
      </c>
      <c r="G90" s="19"/>
      <c r="H90" s="19">
        <v>23222107.620000001</v>
      </c>
      <c r="I90" s="19">
        <v>-23222107.620000001</v>
      </c>
      <c r="J90" s="20">
        <v>5</v>
      </c>
    </row>
    <row r="91" spans="1:10" x14ac:dyDescent="0.25">
      <c r="A91" s="18">
        <v>44012</v>
      </c>
      <c r="B91" s="18">
        <v>44012</v>
      </c>
      <c r="C91" s="11" t="s">
        <v>242</v>
      </c>
      <c r="D91" s="11" t="s">
        <v>176</v>
      </c>
      <c r="E91" s="13" t="s">
        <v>177</v>
      </c>
      <c r="F91" s="13" t="s">
        <v>239</v>
      </c>
      <c r="G91" s="19">
        <v>23222107.620000001</v>
      </c>
      <c r="H91" s="19"/>
      <c r="I91" s="19">
        <v>23222107.620000001</v>
      </c>
      <c r="J91" s="20">
        <v>5</v>
      </c>
    </row>
    <row r="92" spans="1:10" x14ac:dyDescent="0.25">
      <c r="A92" s="18">
        <v>44012</v>
      </c>
      <c r="B92" s="18">
        <v>44012</v>
      </c>
      <c r="C92" s="11" t="s">
        <v>242</v>
      </c>
      <c r="D92" s="11" t="s">
        <v>145</v>
      </c>
      <c r="E92" s="13" t="s">
        <v>146</v>
      </c>
      <c r="F92" s="13" t="s">
        <v>239</v>
      </c>
      <c r="G92" s="19"/>
      <c r="H92" s="19">
        <v>23222107.620000001</v>
      </c>
      <c r="I92" s="19">
        <v>-23222107.620000001</v>
      </c>
      <c r="J92" s="20">
        <v>5</v>
      </c>
    </row>
    <row r="93" spans="1:10" x14ac:dyDescent="0.25">
      <c r="A93" s="18">
        <v>44012</v>
      </c>
      <c r="B93" s="18">
        <v>44012</v>
      </c>
      <c r="C93" s="11" t="s">
        <v>242</v>
      </c>
      <c r="D93" s="11" t="s">
        <v>145</v>
      </c>
      <c r="E93" s="13" t="s">
        <v>146</v>
      </c>
      <c r="F93" s="13" t="s">
        <v>231</v>
      </c>
      <c r="G93" s="19">
        <v>1400000</v>
      </c>
      <c r="H93" s="19"/>
      <c r="I93" s="19">
        <v>1400000</v>
      </c>
      <c r="J93" s="20">
        <v>5</v>
      </c>
    </row>
    <row r="94" spans="1:10" x14ac:dyDescent="0.25">
      <c r="A94" s="18">
        <v>44012</v>
      </c>
      <c r="B94" s="18">
        <v>44012</v>
      </c>
      <c r="C94" s="11" t="s">
        <v>242</v>
      </c>
      <c r="D94" s="11" t="s">
        <v>176</v>
      </c>
      <c r="E94" s="13" t="s">
        <v>177</v>
      </c>
      <c r="F94" s="13" t="s">
        <v>231</v>
      </c>
      <c r="G94" s="19"/>
      <c r="H94" s="19">
        <v>1400000</v>
      </c>
      <c r="I94" s="19">
        <v>-1400000</v>
      </c>
      <c r="J94" s="20">
        <v>5</v>
      </c>
    </row>
    <row r="95" spans="1:10" x14ac:dyDescent="0.25">
      <c r="A95" s="18">
        <v>44012</v>
      </c>
      <c r="B95" s="18">
        <v>44012</v>
      </c>
      <c r="C95" s="11" t="s">
        <v>242</v>
      </c>
      <c r="D95" s="11" t="s">
        <v>196</v>
      </c>
      <c r="E95" s="13" t="s">
        <v>197</v>
      </c>
      <c r="F95" s="13" t="s">
        <v>233</v>
      </c>
      <c r="G95" s="19">
        <v>1225000</v>
      </c>
      <c r="H95" s="19"/>
      <c r="I95" s="19">
        <v>1225000</v>
      </c>
      <c r="J95" s="20">
        <v>5</v>
      </c>
    </row>
    <row r="96" spans="1:10" x14ac:dyDescent="0.25">
      <c r="A96" s="18">
        <v>44012</v>
      </c>
      <c r="B96" s="18">
        <v>44012</v>
      </c>
      <c r="C96" s="11" t="s">
        <v>242</v>
      </c>
      <c r="D96" s="11" t="s">
        <v>170</v>
      </c>
      <c r="E96" s="13" t="s">
        <v>171</v>
      </c>
      <c r="F96" s="13" t="s">
        <v>233</v>
      </c>
      <c r="G96" s="19"/>
      <c r="H96" s="19">
        <v>1225000</v>
      </c>
      <c r="I96" s="19">
        <v>-1225000</v>
      </c>
      <c r="J96" s="20">
        <v>5</v>
      </c>
    </row>
    <row r="97" spans="1:10" x14ac:dyDescent="0.25">
      <c r="A97" s="18">
        <v>44012</v>
      </c>
      <c r="B97" s="18">
        <v>44012</v>
      </c>
      <c r="C97" s="11" t="s">
        <v>242</v>
      </c>
      <c r="D97" s="11" t="s">
        <v>170</v>
      </c>
      <c r="E97" s="13" t="s">
        <v>171</v>
      </c>
      <c r="F97" s="13" t="s">
        <v>233</v>
      </c>
      <c r="G97" s="19">
        <v>1225000</v>
      </c>
      <c r="H97" s="19"/>
      <c r="I97" s="19">
        <v>1225000</v>
      </c>
      <c r="J97" s="20">
        <v>5</v>
      </c>
    </row>
    <row r="98" spans="1:10" x14ac:dyDescent="0.25">
      <c r="A98" s="18">
        <v>44012</v>
      </c>
      <c r="B98" s="18">
        <v>44012</v>
      </c>
      <c r="C98" s="11" t="s">
        <v>242</v>
      </c>
      <c r="D98" s="11" t="s">
        <v>145</v>
      </c>
      <c r="E98" s="13" t="s">
        <v>146</v>
      </c>
      <c r="F98" s="13" t="s">
        <v>233</v>
      </c>
      <c r="G98" s="19"/>
      <c r="H98" s="19">
        <v>1225000</v>
      </c>
      <c r="I98" s="19">
        <v>-1225000</v>
      </c>
      <c r="J98" s="20">
        <v>5</v>
      </c>
    </row>
    <row r="99" spans="1:10" x14ac:dyDescent="0.25">
      <c r="A99" s="18">
        <v>44012</v>
      </c>
      <c r="B99" s="18">
        <v>44012</v>
      </c>
      <c r="C99" s="11" t="s">
        <v>242</v>
      </c>
      <c r="D99" s="11" t="s">
        <v>209</v>
      </c>
      <c r="E99" s="13" t="s">
        <v>210</v>
      </c>
      <c r="F99" s="13" t="s">
        <v>234</v>
      </c>
      <c r="G99" s="19">
        <v>62500</v>
      </c>
      <c r="H99" s="19"/>
      <c r="I99" s="19">
        <v>62500</v>
      </c>
      <c r="J99" s="20">
        <v>5</v>
      </c>
    </row>
    <row r="100" spans="1:10" x14ac:dyDescent="0.25">
      <c r="A100" s="18">
        <v>44012</v>
      </c>
      <c r="B100" s="18">
        <v>44012</v>
      </c>
      <c r="C100" s="11" t="s">
        <v>242</v>
      </c>
      <c r="D100" s="11" t="s">
        <v>205</v>
      </c>
      <c r="E100" s="13" t="s">
        <v>206</v>
      </c>
      <c r="F100" s="13" t="s">
        <v>234</v>
      </c>
      <c r="G100" s="19">
        <v>45000</v>
      </c>
      <c r="H100" s="19"/>
      <c r="I100" s="19">
        <v>45000</v>
      </c>
      <c r="J100" s="20">
        <v>5</v>
      </c>
    </row>
    <row r="101" spans="1:10" x14ac:dyDescent="0.25">
      <c r="A101" s="18">
        <v>44012</v>
      </c>
      <c r="B101" s="18">
        <v>44012</v>
      </c>
      <c r="C101" s="11" t="s">
        <v>242</v>
      </c>
      <c r="D101" s="11" t="s">
        <v>207</v>
      </c>
      <c r="E101" s="13" t="s">
        <v>208</v>
      </c>
      <c r="F101" s="13" t="s">
        <v>234</v>
      </c>
      <c r="G101" s="19">
        <v>18000</v>
      </c>
      <c r="H101" s="19"/>
      <c r="I101" s="19">
        <v>18000</v>
      </c>
      <c r="J101" s="20">
        <v>5</v>
      </c>
    </row>
    <row r="102" spans="1:10" x14ac:dyDescent="0.25">
      <c r="A102" s="18">
        <v>44012</v>
      </c>
      <c r="B102" s="18">
        <v>44012</v>
      </c>
      <c r="C102" s="11" t="s">
        <v>242</v>
      </c>
      <c r="D102" s="11" t="s">
        <v>211</v>
      </c>
      <c r="E102" s="13" t="s">
        <v>212</v>
      </c>
      <c r="F102" s="13" t="s">
        <v>234</v>
      </c>
      <c r="G102" s="19">
        <v>7500</v>
      </c>
      <c r="H102" s="19"/>
      <c r="I102" s="19">
        <v>7500</v>
      </c>
      <c r="J102" s="20">
        <v>5</v>
      </c>
    </row>
    <row r="103" spans="1:10" x14ac:dyDescent="0.25">
      <c r="A103" s="18">
        <v>44012</v>
      </c>
      <c r="B103" s="18">
        <v>44012</v>
      </c>
      <c r="C103" s="11" t="s">
        <v>242</v>
      </c>
      <c r="D103" s="11" t="s">
        <v>215</v>
      </c>
      <c r="E103" s="13" t="s">
        <v>216</v>
      </c>
      <c r="F103" s="13" t="s">
        <v>234</v>
      </c>
      <c r="G103" s="19">
        <v>9000</v>
      </c>
      <c r="H103" s="19"/>
      <c r="I103" s="19">
        <v>9000</v>
      </c>
      <c r="J103" s="20">
        <v>5</v>
      </c>
    </row>
    <row r="104" spans="1:10" x14ac:dyDescent="0.25">
      <c r="A104" s="18">
        <v>44012</v>
      </c>
      <c r="B104" s="18">
        <v>44012</v>
      </c>
      <c r="C104" s="11" t="s">
        <v>242</v>
      </c>
      <c r="D104" s="11" t="s">
        <v>166</v>
      </c>
      <c r="E104" s="13" t="s">
        <v>167</v>
      </c>
      <c r="F104" s="13" t="s">
        <v>234</v>
      </c>
      <c r="G104" s="19"/>
      <c r="H104" s="19">
        <v>142000</v>
      </c>
      <c r="I104" s="19">
        <v>-142000</v>
      </c>
      <c r="J104" s="20">
        <v>5</v>
      </c>
    </row>
    <row r="105" spans="1:10" x14ac:dyDescent="0.25">
      <c r="A105" s="18">
        <v>44012</v>
      </c>
      <c r="B105" s="18">
        <v>44012</v>
      </c>
      <c r="C105" s="11" t="s">
        <v>242</v>
      </c>
      <c r="D105" s="11" t="s">
        <v>166</v>
      </c>
      <c r="E105" s="13" t="s">
        <v>167</v>
      </c>
      <c r="F105" s="13" t="s">
        <v>234</v>
      </c>
      <c r="G105" s="19">
        <v>142000</v>
      </c>
      <c r="H105" s="19"/>
      <c r="I105" s="19">
        <v>142000</v>
      </c>
      <c r="J105" s="20">
        <v>5</v>
      </c>
    </row>
    <row r="106" spans="1:10" x14ac:dyDescent="0.25">
      <c r="A106" s="18">
        <v>44012</v>
      </c>
      <c r="B106" s="18">
        <v>44012</v>
      </c>
      <c r="C106" s="11" t="s">
        <v>242</v>
      </c>
      <c r="D106" s="11" t="s">
        <v>145</v>
      </c>
      <c r="E106" s="13" t="s">
        <v>146</v>
      </c>
      <c r="F106" s="13" t="s">
        <v>234</v>
      </c>
      <c r="G106" s="19"/>
      <c r="H106" s="19">
        <v>142000</v>
      </c>
      <c r="I106" s="19">
        <v>-142000</v>
      </c>
      <c r="J106" s="20">
        <v>5</v>
      </c>
    </row>
    <row r="107" spans="1:10" x14ac:dyDescent="0.25">
      <c r="A107" s="18">
        <v>44012</v>
      </c>
      <c r="B107" s="18">
        <v>44012</v>
      </c>
      <c r="C107" s="11" t="s">
        <v>242</v>
      </c>
      <c r="D107" s="11" t="s">
        <v>219</v>
      </c>
      <c r="E107" s="13" t="s">
        <v>220</v>
      </c>
      <c r="F107" s="13" t="s">
        <v>240</v>
      </c>
      <c r="G107" s="19">
        <v>3500000</v>
      </c>
      <c r="H107" s="19"/>
      <c r="I107" s="19">
        <v>3500000</v>
      </c>
      <c r="J107" s="20">
        <v>5</v>
      </c>
    </row>
    <row r="108" spans="1:10" x14ac:dyDescent="0.25">
      <c r="A108" s="18">
        <v>44012</v>
      </c>
      <c r="B108" s="18">
        <v>44012</v>
      </c>
      <c r="C108" s="11" t="s">
        <v>242</v>
      </c>
      <c r="D108" s="11" t="s">
        <v>153</v>
      </c>
      <c r="E108" s="13" t="s">
        <v>154</v>
      </c>
      <c r="F108" s="13" t="s">
        <v>240</v>
      </c>
      <c r="G108" s="19"/>
      <c r="H108" s="19">
        <v>3500000</v>
      </c>
      <c r="I108" s="19">
        <v>-3500000</v>
      </c>
      <c r="J108" s="20">
        <v>5</v>
      </c>
    </row>
    <row r="109" spans="1:10" x14ac:dyDescent="0.25">
      <c r="A109" s="18">
        <v>44104</v>
      </c>
      <c r="B109" s="18">
        <v>44104</v>
      </c>
      <c r="C109" s="11" t="s">
        <v>243</v>
      </c>
      <c r="D109" s="11" t="s">
        <v>145</v>
      </c>
      <c r="E109" s="13" t="s">
        <v>146</v>
      </c>
      <c r="F109" s="13" t="s">
        <v>231</v>
      </c>
      <c r="G109" s="19">
        <v>1400000</v>
      </c>
      <c r="H109" s="19"/>
      <c r="I109" s="19">
        <v>1400000</v>
      </c>
      <c r="J109" s="20">
        <v>6</v>
      </c>
    </row>
    <row r="110" spans="1:10" x14ac:dyDescent="0.25">
      <c r="A110" s="18">
        <v>44104</v>
      </c>
      <c r="B110" s="18">
        <v>44104</v>
      </c>
      <c r="C110" s="11" t="s">
        <v>243</v>
      </c>
      <c r="D110" s="11" t="s">
        <v>176</v>
      </c>
      <c r="E110" s="13" t="s">
        <v>177</v>
      </c>
      <c r="F110" s="13" t="s">
        <v>231</v>
      </c>
      <c r="G110" s="19"/>
      <c r="H110" s="19">
        <v>1400000</v>
      </c>
      <c r="I110" s="19">
        <v>-1400000</v>
      </c>
      <c r="J110" s="20">
        <v>6</v>
      </c>
    </row>
    <row r="111" spans="1:10" x14ac:dyDescent="0.25">
      <c r="A111" s="18">
        <v>44104</v>
      </c>
      <c r="B111" s="18">
        <v>44104</v>
      </c>
      <c r="C111" s="11" t="s">
        <v>243</v>
      </c>
      <c r="D111" s="11" t="s">
        <v>196</v>
      </c>
      <c r="E111" s="13" t="s">
        <v>197</v>
      </c>
      <c r="F111" s="13" t="s">
        <v>233</v>
      </c>
      <c r="G111" s="19">
        <v>1225000</v>
      </c>
      <c r="H111" s="19"/>
      <c r="I111" s="19">
        <v>1225000</v>
      </c>
      <c r="J111" s="20">
        <v>6</v>
      </c>
    </row>
    <row r="112" spans="1:10" x14ac:dyDescent="0.25">
      <c r="A112" s="18">
        <v>44104</v>
      </c>
      <c r="B112" s="18">
        <v>44104</v>
      </c>
      <c r="C112" s="11" t="s">
        <v>243</v>
      </c>
      <c r="D112" s="11" t="s">
        <v>170</v>
      </c>
      <c r="E112" s="13" t="s">
        <v>171</v>
      </c>
      <c r="F112" s="13" t="s">
        <v>233</v>
      </c>
      <c r="G112" s="19"/>
      <c r="H112" s="19">
        <v>1225000</v>
      </c>
      <c r="I112" s="19">
        <v>-1225000</v>
      </c>
      <c r="J112" s="20">
        <v>6</v>
      </c>
    </row>
    <row r="113" spans="1:10" x14ac:dyDescent="0.25">
      <c r="A113" s="18">
        <v>44104</v>
      </c>
      <c r="B113" s="18">
        <v>44104</v>
      </c>
      <c r="C113" s="11" t="s">
        <v>243</v>
      </c>
      <c r="D113" s="11" t="s">
        <v>170</v>
      </c>
      <c r="E113" s="13" t="s">
        <v>171</v>
      </c>
      <c r="F113" s="13" t="s">
        <v>233</v>
      </c>
      <c r="G113" s="19">
        <v>1225000</v>
      </c>
      <c r="H113" s="19"/>
      <c r="I113" s="19">
        <v>1225000</v>
      </c>
      <c r="J113" s="20">
        <v>6</v>
      </c>
    </row>
    <row r="114" spans="1:10" x14ac:dyDescent="0.25">
      <c r="A114" s="18">
        <v>44104</v>
      </c>
      <c r="B114" s="18">
        <v>44104</v>
      </c>
      <c r="C114" s="11" t="s">
        <v>243</v>
      </c>
      <c r="D114" s="11" t="s">
        <v>145</v>
      </c>
      <c r="E114" s="13" t="s">
        <v>146</v>
      </c>
      <c r="F114" s="13" t="s">
        <v>233</v>
      </c>
      <c r="G114" s="19"/>
      <c r="H114" s="19">
        <v>1225000</v>
      </c>
      <c r="I114" s="19">
        <v>-1225000</v>
      </c>
      <c r="J114" s="20">
        <v>6</v>
      </c>
    </row>
    <row r="115" spans="1:10" x14ac:dyDescent="0.25">
      <c r="A115" s="18">
        <v>44104</v>
      </c>
      <c r="B115" s="18">
        <v>44104</v>
      </c>
      <c r="C115" s="11" t="s">
        <v>243</v>
      </c>
      <c r="D115" s="11" t="s">
        <v>209</v>
      </c>
      <c r="E115" s="13" t="s">
        <v>210</v>
      </c>
      <c r="F115" s="13" t="s">
        <v>234</v>
      </c>
      <c r="G115" s="19">
        <v>62500</v>
      </c>
      <c r="H115" s="19"/>
      <c r="I115" s="19">
        <v>62500</v>
      </c>
      <c r="J115" s="20">
        <v>6</v>
      </c>
    </row>
    <row r="116" spans="1:10" x14ac:dyDescent="0.25">
      <c r="A116" s="18">
        <v>44104</v>
      </c>
      <c r="B116" s="18">
        <v>44104</v>
      </c>
      <c r="C116" s="11" t="s">
        <v>243</v>
      </c>
      <c r="D116" s="11" t="s">
        <v>205</v>
      </c>
      <c r="E116" s="13" t="s">
        <v>206</v>
      </c>
      <c r="F116" s="13" t="s">
        <v>234</v>
      </c>
      <c r="G116" s="19">
        <v>45000</v>
      </c>
      <c r="H116" s="19"/>
      <c r="I116" s="19">
        <v>45000</v>
      </c>
      <c r="J116" s="20">
        <v>6</v>
      </c>
    </row>
    <row r="117" spans="1:10" x14ac:dyDescent="0.25">
      <c r="A117" s="18">
        <v>44104</v>
      </c>
      <c r="B117" s="18">
        <v>44104</v>
      </c>
      <c r="C117" s="11" t="s">
        <v>243</v>
      </c>
      <c r="D117" s="11" t="s">
        <v>207</v>
      </c>
      <c r="E117" s="13" t="s">
        <v>208</v>
      </c>
      <c r="F117" s="13" t="s">
        <v>234</v>
      </c>
      <c r="G117" s="19">
        <v>18000</v>
      </c>
      <c r="H117" s="19"/>
      <c r="I117" s="19">
        <v>18000</v>
      </c>
      <c r="J117" s="20">
        <v>6</v>
      </c>
    </row>
    <row r="118" spans="1:10" x14ac:dyDescent="0.25">
      <c r="A118" s="18">
        <v>44104</v>
      </c>
      <c r="B118" s="18">
        <v>44104</v>
      </c>
      <c r="C118" s="11" t="s">
        <v>243</v>
      </c>
      <c r="D118" s="11" t="s">
        <v>211</v>
      </c>
      <c r="E118" s="13" t="s">
        <v>212</v>
      </c>
      <c r="F118" s="13" t="s">
        <v>234</v>
      </c>
      <c r="G118" s="19">
        <v>7500</v>
      </c>
      <c r="H118" s="19"/>
      <c r="I118" s="19">
        <v>7500</v>
      </c>
      <c r="J118" s="20">
        <v>6</v>
      </c>
    </row>
    <row r="119" spans="1:10" x14ac:dyDescent="0.25">
      <c r="A119" s="18">
        <v>44104</v>
      </c>
      <c r="B119" s="18">
        <v>44104</v>
      </c>
      <c r="C119" s="11" t="s">
        <v>243</v>
      </c>
      <c r="D119" s="11" t="s">
        <v>215</v>
      </c>
      <c r="E119" s="13" t="s">
        <v>216</v>
      </c>
      <c r="F119" s="13" t="s">
        <v>234</v>
      </c>
      <c r="G119" s="19">
        <v>9000</v>
      </c>
      <c r="H119" s="19"/>
      <c r="I119" s="19">
        <v>9000</v>
      </c>
      <c r="J119" s="20">
        <v>6</v>
      </c>
    </row>
    <row r="120" spans="1:10" x14ac:dyDescent="0.25">
      <c r="A120" s="18">
        <v>44104</v>
      </c>
      <c r="B120" s="18">
        <v>44104</v>
      </c>
      <c r="C120" s="11" t="s">
        <v>243</v>
      </c>
      <c r="D120" s="11" t="s">
        <v>166</v>
      </c>
      <c r="E120" s="13" t="s">
        <v>167</v>
      </c>
      <c r="F120" s="13" t="s">
        <v>234</v>
      </c>
      <c r="G120" s="19"/>
      <c r="H120" s="19">
        <v>142000</v>
      </c>
      <c r="I120" s="19">
        <v>-142000</v>
      </c>
      <c r="J120" s="20">
        <v>6</v>
      </c>
    </row>
    <row r="121" spans="1:10" x14ac:dyDescent="0.25">
      <c r="A121" s="18">
        <v>44104</v>
      </c>
      <c r="B121" s="18">
        <v>44104</v>
      </c>
      <c r="C121" s="11" t="s">
        <v>243</v>
      </c>
      <c r="D121" s="11" t="s">
        <v>166</v>
      </c>
      <c r="E121" s="13" t="s">
        <v>167</v>
      </c>
      <c r="F121" s="13" t="s">
        <v>234</v>
      </c>
      <c r="G121" s="19">
        <v>142000</v>
      </c>
      <c r="H121" s="19"/>
      <c r="I121" s="19">
        <v>142000</v>
      </c>
      <c r="J121" s="20">
        <v>6</v>
      </c>
    </row>
    <row r="122" spans="1:10" x14ac:dyDescent="0.25">
      <c r="A122" s="18">
        <v>44104</v>
      </c>
      <c r="B122" s="18">
        <v>44104</v>
      </c>
      <c r="C122" s="11" t="s">
        <v>243</v>
      </c>
      <c r="D122" s="11" t="s">
        <v>145</v>
      </c>
      <c r="E122" s="13" t="s">
        <v>146</v>
      </c>
      <c r="F122" s="13" t="s">
        <v>234</v>
      </c>
      <c r="G122" s="19"/>
      <c r="H122" s="19">
        <v>142000</v>
      </c>
      <c r="I122" s="19">
        <v>-142000</v>
      </c>
      <c r="J122" s="20">
        <v>6</v>
      </c>
    </row>
    <row r="123" spans="1:10" x14ac:dyDescent="0.25">
      <c r="A123" s="18">
        <v>44196</v>
      </c>
      <c r="B123" s="18">
        <v>44196</v>
      </c>
      <c r="C123" s="11" t="s">
        <v>244</v>
      </c>
      <c r="D123" s="11" t="s">
        <v>145</v>
      </c>
      <c r="E123" s="13" t="s">
        <v>146</v>
      </c>
      <c r="F123" s="13" t="s">
        <v>231</v>
      </c>
      <c r="G123" s="19">
        <v>26300000</v>
      </c>
      <c r="H123" s="19"/>
      <c r="I123" s="19">
        <v>26300000</v>
      </c>
      <c r="J123" s="20">
        <v>7</v>
      </c>
    </row>
    <row r="124" spans="1:10" x14ac:dyDescent="0.25">
      <c r="A124" s="18">
        <v>44196</v>
      </c>
      <c r="B124" s="18">
        <v>44196</v>
      </c>
      <c r="C124" s="11" t="s">
        <v>244</v>
      </c>
      <c r="D124" s="11" t="s">
        <v>176</v>
      </c>
      <c r="E124" s="13" t="s">
        <v>177</v>
      </c>
      <c r="F124" s="13" t="s">
        <v>231</v>
      </c>
      <c r="G124" s="19"/>
      <c r="H124" s="19">
        <v>26300000</v>
      </c>
      <c r="I124" s="19">
        <v>-26300000</v>
      </c>
      <c r="J124" s="20">
        <v>7</v>
      </c>
    </row>
    <row r="125" spans="1:10" x14ac:dyDescent="0.25">
      <c r="A125" s="18">
        <v>44196</v>
      </c>
      <c r="B125" s="18">
        <v>44196</v>
      </c>
      <c r="C125" s="11" t="s">
        <v>244</v>
      </c>
      <c r="D125" s="11" t="s">
        <v>196</v>
      </c>
      <c r="E125" s="13" t="s">
        <v>197</v>
      </c>
      <c r="F125" s="13" t="s">
        <v>233</v>
      </c>
      <c r="G125" s="19">
        <v>1225000</v>
      </c>
      <c r="H125" s="19"/>
      <c r="I125" s="19">
        <v>1225000</v>
      </c>
      <c r="J125" s="20">
        <v>7</v>
      </c>
    </row>
    <row r="126" spans="1:10" x14ac:dyDescent="0.25">
      <c r="A126" s="18">
        <v>44196</v>
      </c>
      <c r="B126" s="18">
        <v>44196</v>
      </c>
      <c r="C126" s="11" t="s">
        <v>244</v>
      </c>
      <c r="D126" s="11" t="s">
        <v>170</v>
      </c>
      <c r="E126" s="13" t="s">
        <v>171</v>
      </c>
      <c r="F126" s="13" t="s">
        <v>233</v>
      </c>
      <c r="G126" s="19"/>
      <c r="H126" s="19">
        <v>1225000</v>
      </c>
      <c r="I126" s="19">
        <v>-1225000</v>
      </c>
      <c r="J126" s="20">
        <v>7</v>
      </c>
    </row>
    <row r="127" spans="1:10" x14ac:dyDescent="0.25">
      <c r="A127" s="18">
        <v>44196</v>
      </c>
      <c r="B127" s="18">
        <v>44196</v>
      </c>
      <c r="C127" s="11" t="s">
        <v>244</v>
      </c>
      <c r="D127" s="11" t="s">
        <v>170</v>
      </c>
      <c r="E127" s="13" t="s">
        <v>171</v>
      </c>
      <c r="F127" s="13" t="s">
        <v>233</v>
      </c>
      <c r="G127" s="19">
        <v>1225000</v>
      </c>
      <c r="H127" s="19"/>
      <c r="I127" s="19">
        <v>1225000</v>
      </c>
      <c r="J127" s="20">
        <v>7</v>
      </c>
    </row>
    <row r="128" spans="1:10" x14ac:dyDescent="0.25">
      <c r="A128" s="18">
        <v>44196</v>
      </c>
      <c r="B128" s="18">
        <v>44196</v>
      </c>
      <c r="C128" s="11" t="s">
        <v>244</v>
      </c>
      <c r="D128" s="11" t="s">
        <v>145</v>
      </c>
      <c r="E128" s="13" t="s">
        <v>146</v>
      </c>
      <c r="F128" s="13" t="s">
        <v>233</v>
      </c>
      <c r="G128" s="19"/>
      <c r="H128" s="19">
        <v>1225000</v>
      </c>
      <c r="I128" s="19">
        <v>-1225000</v>
      </c>
      <c r="J128" s="20">
        <v>7</v>
      </c>
    </row>
    <row r="129" spans="1:10" x14ac:dyDescent="0.25">
      <c r="A129" s="18">
        <v>44196</v>
      </c>
      <c r="B129" s="18">
        <v>44196</v>
      </c>
      <c r="C129" s="11" t="s">
        <v>244</v>
      </c>
      <c r="D129" s="11" t="s">
        <v>209</v>
      </c>
      <c r="E129" s="13" t="s">
        <v>210</v>
      </c>
      <c r="F129" s="13" t="s">
        <v>234</v>
      </c>
      <c r="G129" s="19">
        <v>62500</v>
      </c>
      <c r="H129" s="19"/>
      <c r="I129" s="19">
        <v>62500</v>
      </c>
      <c r="J129" s="20">
        <v>7</v>
      </c>
    </row>
    <row r="130" spans="1:10" x14ac:dyDescent="0.25">
      <c r="A130" s="18">
        <v>44196</v>
      </c>
      <c r="B130" s="18">
        <v>44196</v>
      </c>
      <c r="C130" s="11" t="s">
        <v>244</v>
      </c>
      <c r="D130" s="11" t="s">
        <v>205</v>
      </c>
      <c r="E130" s="13" t="s">
        <v>206</v>
      </c>
      <c r="F130" s="13" t="s">
        <v>234</v>
      </c>
      <c r="G130" s="19">
        <v>45000</v>
      </c>
      <c r="H130" s="19"/>
      <c r="I130" s="19">
        <v>45000</v>
      </c>
      <c r="J130" s="20">
        <v>7</v>
      </c>
    </row>
    <row r="131" spans="1:10" x14ac:dyDescent="0.25">
      <c r="A131" s="18">
        <v>44196</v>
      </c>
      <c r="B131" s="18">
        <v>44196</v>
      </c>
      <c r="C131" s="11" t="s">
        <v>244</v>
      </c>
      <c r="D131" s="11" t="s">
        <v>207</v>
      </c>
      <c r="E131" s="13" t="s">
        <v>208</v>
      </c>
      <c r="F131" s="13" t="s">
        <v>234</v>
      </c>
      <c r="G131" s="19">
        <v>18000</v>
      </c>
      <c r="H131" s="19"/>
      <c r="I131" s="19">
        <v>18000</v>
      </c>
      <c r="J131" s="20">
        <v>7</v>
      </c>
    </row>
    <row r="132" spans="1:10" x14ac:dyDescent="0.25">
      <c r="A132" s="18">
        <v>44196</v>
      </c>
      <c r="B132" s="18">
        <v>44196</v>
      </c>
      <c r="C132" s="11" t="s">
        <v>244</v>
      </c>
      <c r="D132" s="11" t="s">
        <v>211</v>
      </c>
      <c r="E132" s="13" t="s">
        <v>212</v>
      </c>
      <c r="F132" s="13" t="s">
        <v>234</v>
      </c>
      <c r="G132" s="19">
        <v>7500</v>
      </c>
      <c r="H132" s="19"/>
      <c r="I132" s="19">
        <v>7500</v>
      </c>
      <c r="J132" s="20">
        <v>7</v>
      </c>
    </row>
    <row r="133" spans="1:10" x14ac:dyDescent="0.25">
      <c r="A133" s="18">
        <v>44196</v>
      </c>
      <c r="B133" s="18">
        <v>44196</v>
      </c>
      <c r="C133" s="11" t="s">
        <v>244</v>
      </c>
      <c r="D133" s="11" t="s">
        <v>215</v>
      </c>
      <c r="E133" s="13" t="s">
        <v>216</v>
      </c>
      <c r="F133" s="13" t="s">
        <v>234</v>
      </c>
      <c r="G133" s="19">
        <v>9000</v>
      </c>
      <c r="H133" s="19"/>
      <c r="I133" s="19">
        <v>9000</v>
      </c>
      <c r="J133" s="20">
        <v>7</v>
      </c>
    </row>
    <row r="134" spans="1:10" x14ac:dyDescent="0.25">
      <c r="A134" s="18">
        <v>44196</v>
      </c>
      <c r="B134" s="18">
        <v>44196</v>
      </c>
      <c r="C134" s="11" t="s">
        <v>244</v>
      </c>
      <c r="D134" s="11" t="s">
        <v>166</v>
      </c>
      <c r="E134" s="13" t="s">
        <v>167</v>
      </c>
      <c r="F134" s="13" t="s">
        <v>234</v>
      </c>
      <c r="G134" s="19"/>
      <c r="H134" s="19">
        <v>142000</v>
      </c>
      <c r="I134" s="19">
        <v>-142000</v>
      </c>
      <c r="J134" s="20">
        <v>7</v>
      </c>
    </row>
    <row r="135" spans="1:10" x14ac:dyDescent="0.25">
      <c r="A135" s="18">
        <v>44196</v>
      </c>
      <c r="B135" s="18">
        <v>44196</v>
      </c>
      <c r="C135" s="11" t="s">
        <v>244</v>
      </c>
      <c r="D135" s="11" t="s">
        <v>166</v>
      </c>
      <c r="E135" s="13" t="s">
        <v>167</v>
      </c>
      <c r="F135" s="13" t="s">
        <v>234</v>
      </c>
      <c r="G135" s="19">
        <v>142000</v>
      </c>
      <c r="H135" s="19"/>
      <c r="I135" s="19">
        <v>142000</v>
      </c>
      <c r="J135" s="20">
        <v>7</v>
      </c>
    </row>
    <row r="136" spans="1:10" x14ac:dyDescent="0.25">
      <c r="A136" s="18">
        <v>44196</v>
      </c>
      <c r="B136" s="18">
        <v>44196</v>
      </c>
      <c r="C136" s="11" t="s">
        <v>244</v>
      </c>
      <c r="D136" s="11" t="s">
        <v>145</v>
      </c>
      <c r="E136" s="13" t="s">
        <v>146</v>
      </c>
      <c r="F136" s="13" t="s">
        <v>234</v>
      </c>
      <c r="G136" s="19"/>
      <c r="H136" s="19">
        <v>142000</v>
      </c>
      <c r="I136" s="19">
        <v>-142000</v>
      </c>
      <c r="J136" s="20">
        <v>7</v>
      </c>
    </row>
    <row r="137" spans="1:10" x14ac:dyDescent="0.25">
      <c r="A137" s="18">
        <v>44196</v>
      </c>
      <c r="B137" s="18">
        <v>44196</v>
      </c>
      <c r="C137" s="11" t="s">
        <v>244</v>
      </c>
      <c r="D137" s="11" t="s">
        <v>151</v>
      </c>
      <c r="E137" s="13" t="s">
        <v>152</v>
      </c>
      <c r="F137" s="13" t="s">
        <v>236</v>
      </c>
      <c r="G137" s="19">
        <v>23750000</v>
      </c>
      <c r="H137" s="19"/>
      <c r="I137" s="19">
        <v>23750000</v>
      </c>
      <c r="J137" s="20">
        <v>7</v>
      </c>
    </row>
    <row r="138" spans="1:10" x14ac:dyDescent="0.25">
      <c r="A138" s="18">
        <v>44196</v>
      </c>
      <c r="B138" s="18">
        <v>44196</v>
      </c>
      <c r="C138" s="11" t="s">
        <v>244</v>
      </c>
      <c r="D138" s="11" t="s">
        <v>145</v>
      </c>
      <c r="E138" s="13" t="s">
        <v>146</v>
      </c>
      <c r="F138" s="13" t="s">
        <v>236</v>
      </c>
      <c r="G138" s="19"/>
      <c r="H138" s="19">
        <v>23750000</v>
      </c>
      <c r="I138" s="19">
        <v>-23750000</v>
      </c>
      <c r="J138" s="20">
        <v>7</v>
      </c>
    </row>
    <row r="139" spans="1:10" x14ac:dyDescent="0.25">
      <c r="A139" s="18">
        <v>44196</v>
      </c>
      <c r="B139" s="18">
        <v>44196</v>
      </c>
      <c r="C139" s="11" t="s">
        <v>244</v>
      </c>
      <c r="D139" s="11" t="s">
        <v>155</v>
      </c>
      <c r="E139" s="13" t="s">
        <v>156</v>
      </c>
      <c r="F139" s="13" t="s">
        <v>236</v>
      </c>
      <c r="G139" s="19">
        <v>1250000</v>
      </c>
      <c r="H139" s="19"/>
      <c r="I139" s="19">
        <v>1250000</v>
      </c>
      <c r="J139" s="20">
        <v>7</v>
      </c>
    </row>
    <row r="140" spans="1:10" x14ac:dyDescent="0.25">
      <c r="A140" s="18">
        <v>44196</v>
      </c>
      <c r="B140" s="18">
        <v>44196</v>
      </c>
      <c r="C140" s="11" t="s">
        <v>244</v>
      </c>
      <c r="D140" s="11" t="s">
        <v>145</v>
      </c>
      <c r="E140" s="13" t="s">
        <v>146</v>
      </c>
      <c r="F140" s="13" t="s">
        <v>236</v>
      </c>
      <c r="G140" s="19"/>
      <c r="H140" s="19">
        <v>1250000</v>
      </c>
      <c r="I140" s="19">
        <v>-1250000</v>
      </c>
      <c r="J140" s="20">
        <v>7</v>
      </c>
    </row>
    <row r="141" spans="1:10" x14ac:dyDescent="0.25">
      <c r="A141" s="18">
        <v>44196</v>
      </c>
      <c r="B141" s="18">
        <v>44196</v>
      </c>
      <c r="C141" s="11" t="s">
        <v>244</v>
      </c>
      <c r="D141" s="11" t="s">
        <v>153</v>
      </c>
      <c r="E141" s="13" t="s">
        <v>154</v>
      </c>
      <c r="F141" s="13" t="s">
        <v>240</v>
      </c>
      <c r="G141" s="19">
        <v>11000000</v>
      </c>
      <c r="H141" s="19"/>
      <c r="I141" s="19">
        <v>11000000</v>
      </c>
      <c r="J141" s="20">
        <v>7</v>
      </c>
    </row>
    <row r="142" spans="1:10" x14ac:dyDescent="0.25">
      <c r="A142" s="18">
        <v>44196</v>
      </c>
      <c r="B142" s="18">
        <v>44196</v>
      </c>
      <c r="C142" s="11" t="s">
        <v>244</v>
      </c>
      <c r="D142" s="11" t="s">
        <v>219</v>
      </c>
      <c r="E142" s="13" t="s">
        <v>220</v>
      </c>
      <c r="F142" s="13" t="s">
        <v>240</v>
      </c>
      <c r="G142" s="19"/>
      <c r="H142" s="19">
        <v>11000000</v>
      </c>
      <c r="I142" s="19">
        <v>-11000000</v>
      </c>
      <c r="J142" s="20">
        <v>7</v>
      </c>
    </row>
    <row r="143" spans="1:10" x14ac:dyDescent="0.25">
      <c r="A143" s="18">
        <v>44286</v>
      </c>
      <c r="B143" s="18">
        <v>44286</v>
      </c>
      <c r="C143" s="11" t="s">
        <v>245</v>
      </c>
      <c r="D143" s="11" t="s">
        <v>145</v>
      </c>
      <c r="E143" s="13" t="s">
        <v>146</v>
      </c>
      <c r="F143" s="13" t="s">
        <v>231</v>
      </c>
      <c r="G143" s="19">
        <v>9400000</v>
      </c>
      <c r="H143" s="19"/>
      <c r="I143" s="19">
        <v>9400000</v>
      </c>
      <c r="J143" s="20">
        <v>8</v>
      </c>
    </row>
    <row r="144" spans="1:10" x14ac:dyDescent="0.25">
      <c r="A144" s="18">
        <v>44286</v>
      </c>
      <c r="B144" s="18">
        <v>44286</v>
      </c>
      <c r="C144" s="11" t="s">
        <v>245</v>
      </c>
      <c r="D144" s="11" t="s">
        <v>176</v>
      </c>
      <c r="E144" s="13" t="s">
        <v>177</v>
      </c>
      <c r="F144" s="13" t="s">
        <v>231</v>
      </c>
      <c r="G144" s="19"/>
      <c r="H144" s="19">
        <v>9400000</v>
      </c>
      <c r="I144" s="19">
        <v>-9400000</v>
      </c>
      <c r="J144" s="20">
        <v>8</v>
      </c>
    </row>
    <row r="145" spans="1:10" x14ac:dyDescent="0.25">
      <c r="A145" s="18">
        <v>44286</v>
      </c>
      <c r="B145" s="18">
        <v>44286</v>
      </c>
      <c r="C145" s="11" t="s">
        <v>245</v>
      </c>
      <c r="D145" s="11" t="s">
        <v>196</v>
      </c>
      <c r="E145" s="13" t="s">
        <v>197</v>
      </c>
      <c r="F145" s="13" t="s">
        <v>233</v>
      </c>
      <c r="G145" s="19">
        <v>1225000</v>
      </c>
      <c r="H145" s="19"/>
      <c r="I145" s="19">
        <v>1225000</v>
      </c>
      <c r="J145" s="20">
        <v>8</v>
      </c>
    </row>
    <row r="146" spans="1:10" x14ac:dyDescent="0.25">
      <c r="A146" s="18">
        <v>44286</v>
      </c>
      <c r="B146" s="18">
        <v>44286</v>
      </c>
      <c r="C146" s="11" t="s">
        <v>245</v>
      </c>
      <c r="D146" s="11" t="s">
        <v>170</v>
      </c>
      <c r="E146" s="13" t="s">
        <v>171</v>
      </c>
      <c r="F146" s="13" t="s">
        <v>233</v>
      </c>
      <c r="G146" s="19"/>
      <c r="H146" s="19">
        <v>1225000</v>
      </c>
      <c r="I146" s="19">
        <v>-1225000</v>
      </c>
      <c r="J146" s="20">
        <v>8</v>
      </c>
    </row>
    <row r="147" spans="1:10" x14ac:dyDescent="0.25">
      <c r="A147" s="18">
        <v>44286</v>
      </c>
      <c r="B147" s="18">
        <v>44286</v>
      </c>
      <c r="C147" s="11" t="s">
        <v>245</v>
      </c>
      <c r="D147" s="11" t="s">
        <v>170</v>
      </c>
      <c r="E147" s="13" t="s">
        <v>171</v>
      </c>
      <c r="F147" s="13" t="s">
        <v>233</v>
      </c>
      <c r="G147" s="19">
        <v>1225000</v>
      </c>
      <c r="H147" s="19"/>
      <c r="I147" s="19">
        <v>1225000</v>
      </c>
      <c r="J147" s="20">
        <v>8</v>
      </c>
    </row>
    <row r="148" spans="1:10" x14ac:dyDescent="0.25">
      <c r="A148" s="18">
        <v>44286</v>
      </c>
      <c r="B148" s="18">
        <v>44286</v>
      </c>
      <c r="C148" s="11" t="s">
        <v>245</v>
      </c>
      <c r="D148" s="11" t="s">
        <v>145</v>
      </c>
      <c r="E148" s="13" t="s">
        <v>146</v>
      </c>
      <c r="F148" s="13" t="s">
        <v>233</v>
      </c>
      <c r="G148" s="19"/>
      <c r="H148" s="19">
        <v>1225000</v>
      </c>
      <c r="I148" s="19">
        <v>-1225000</v>
      </c>
      <c r="J148" s="20">
        <v>8</v>
      </c>
    </row>
    <row r="149" spans="1:10" x14ac:dyDescent="0.25">
      <c r="A149" s="18">
        <v>44286</v>
      </c>
      <c r="B149" s="18">
        <v>44286</v>
      </c>
      <c r="C149" s="11" t="s">
        <v>245</v>
      </c>
      <c r="D149" s="11" t="s">
        <v>209</v>
      </c>
      <c r="E149" s="13" t="s">
        <v>210</v>
      </c>
      <c r="F149" s="13" t="s">
        <v>234</v>
      </c>
      <c r="G149" s="19">
        <v>62500</v>
      </c>
      <c r="H149" s="19"/>
      <c r="I149" s="19">
        <v>62500</v>
      </c>
      <c r="J149" s="20">
        <v>8</v>
      </c>
    </row>
    <row r="150" spans="1:10" x14ac:dyDescent="0.25">
      <c r="A150" s="18">
        <v>44286</v>
      </c>
      <c r="B150" s="18">
        <v>44286</v>
      </c>
      <c r="C150" s="11" t="s">
        <v>245</v>
      </c>
      <c r="D150" s="11" t="s">
        <v>205</v>
      </c>
      <c r="E150" s="13" t="s">
        <v>206</v>
      </c>
      <c r="F150" s="13" t="s">
        <v>234</v>
      </c>
      <c r="G150" s="19">
        <v>45000</v>
      </c>
      <c r="H150" s="19"/>
      <c r="I150" s="19">
        <v>45000</v>
      </c>
      <c r="J150" s="20">
        <v>8</v>
      </c>
    </row>
    <row r="151" spans="1:10" x14ac:dyDescent="0.25">
      <c r="A151" s="18">
        <v>44286</v>
      </c>
      <c r="B151" s="18">
        <v>44286</v>
      </c>
      <c r="C151" s="11" t="s">
        <v>245</v>
      </c>
      <c r="D151" s="11" t="s">
        <v>207</v>
      </c>
      <c r="E151" s="13" t="s">
        <v>208</v>
      </c>
      <c r="F151" s="13" t="s">
        <v>234</v>
      </c>
      <c r="G151" s="19">
        <v>18000</v>
      </c>
      <c r="H151" s="19"/>
      <c r="I151" s="19">
        <v>18000</v>
      </c>
      <c r="J151" s="20">
        <v>8</v>
      </c>
    </row>
    <row r="152" spans="1:10" x14ac:dyDescent="0.25">
      <c r="A152" s="18">
        <v>44286</v>
      </c>
      <c r="B152" s="18">
        <v>44286</v>
      </c>
      <c r="C152" s="11" t="s">
        <v>245</v>
      </c>
      <c r="D152" s="11" t="s">
        <v>211</v>
      </c>
      <c r="E152" s="13" t="s">
        <v>212</v>
      </c>
      <c r="F152" s="13" t="s">
        <v>234</v>
      </c>
      <c r="G152" s="19">
        <v>7500</v>
      </c>
      <c r="H152" s="19"/>
      <c r="I152" s="19">
        <v>7500</v>
      </c>
      <c r="J152" s="20">
        <v>8</v>
      </c>
    </row>
    <row r="153" spans="1:10" x14ac:dyDescent="0.25">
      <c r="A153" s="18">
        <v>44286</v>
      </c>
      <c r="B153" s="18">
        <v>44286</v>
      </c>
      <c r="C153" s="11" t="s">
        <v>245</v>
      </c>
      <c r="D153" s="11" t="s">
        <v>215</v>
      </c>
      <c r="E153" s="13" t="s">
        <v>216</v>
      </c>
      <c r="F153" s="13" t="s">
        <v>234</v>
      </c>
      <c r="G153" s="19">
        <v>9000</v>
      </c>
      <c r="H153" s="19"/>
      <c r="I153" s="19">
        <v>9000</v>
      </c>
      <c r="J153" s="20">
        <v>8</v>
      </c>
    </row>
    <row r="154" spans="1:10" x14ac:dyDescent="0.25">
      <c r="A154" s="18">
        <v>44286</v>
      </c>
      <c r="B154" s="18">
        <v>44286</v>
      </c>
      <c r="C154" s="11" t="s">
        <v>245</v>
      </c>
      <c r="D154" s="11" t="s">
        <v>166</v>
      </c>
      <c r="E154" s="13" t="s">
        <v>167</v>
      </c>
      <c r="F154" s="13" t="s">
        <v>234</v>
      </c>
      <c r="G154" s="19"/>
      <c r="H154" s="19">
        <v>142000</v>
      </c>
      <c r="I154" s="19">
        <v>-142000</v>
      </c>
      <c r="J154" s="20">
        <v>8</v>
      </c>
    </row>
    <row r="155" spans="1:10" x14ac:dyDescent="0.25">
      <c r="A155" s="18">
        <v>44286</v>
      </c>
      <c r="B155" s="18">
        <v>44286</v>
      </c>
      <c r="C155" s="11" t="s">
        <v>245</v>
      </c>
      <c r="D155" s="11" t="s">
        <v>166</v>
      </c>
      <c r="E155" s="13" t="s">
        <v>167</v>
      </c>
      <c r="F155" s="13" t="s">
        <v>234</v>
      </c>
      <c r="G155" s="19">
        <v>142000</v>
      </c>
      <c r="H155" s="19"/>
      <c r="I155" s="19">
        <v>142000</v>
      </c>
      <c r="J155" s="20">
        <v>8</v>
      </c>
    </row>
    <row r="156" spans="1:10" x14ac:dyDescent="0.25">
      <c r="A156" s="18">
        <v>44286</v>
      </c>
      <c r="B156" s="18">
        <v>44286</v>
      </c>
      <c r="C156" s="11" t="s">
        <v>245</v>
      </c>
      <c r="D156" s="11" t="s">
        <v>145</v>
      </c>
      <c r="E156" s="13" t="s">
        <v>146</v>
      </c>
      <c r="F156" s="13" t="s">
        <v>234</v>
      </c>
      <c r="G156" s="19"/>
      <c r="H156" s="19">
        <v>142000</v>
      </c>
      <c r="I156" s="19">
        <v>-142000</v>
      </c>
      <c r="J156" s="20">
        <v>8</v>
      </c>
    </row>
    <row r="157" spans="1:10" x14ac:dyDescent="0.25">
      <c r="A157" s="18">
        <v>44286</v>
      </c>
      <c r="B157" s="18">
        <v>44286</v>
      </c>
      <c r="C157" s="11" t="s">
        <v>245</v>
      </c>
      <c r="D157" s="11" t="s">
        <v>151</v>
      </c>
      <c r="E157" s="13" t="s">
        <v>152</v>
      </c>
      <c r="F157" s="13" t="s">
        <v>236</v>
      </c>
      <c r="G157" s="19">
        <v>8000000</v>
      </c>
      <c r="H157" s="19"/>
      <c r="I157" s="19">
        <v>8000000</v>
      </c>
      <c r="J157" s="20">
        <v>8</v>
      </c>
    </row>
    <row r="158" spans="1:10" x14ac:dyDescent="0.25">
      <c r="A158" s="18">
        <v>44286</v>
      </c>
      <c r="B158" s="18">
        <v>44286</v>
      </c>
      <c r="C158" s="11" t="s">
        <v>245</v>
      </c>
      <c r="D158" s="11" t="s">
        <v>145</v>
      </c>
      <c r="E158" s="13" t="s">
        <v>146</v>
      </c>
      <c r="F158" s="13" t="s">
        <v>236</v>
      </c>
      <c r="G158" s="19"/>
      <c r="H158" s="19">
        <v>8000000</v>
      </c>
      <c r="I158" s="19">
        <v>-8000000</v>
      </c>
      <c r="J158" s="20">
        <v>8</v>
      </c>
    </row>
    <row r="159" spans="1:10" x14ac:dyDescent="0.25">
      <c r="A159" s="18">
        <v>44286</v>
      </c>
      <c r="B159" s="18">
        <v>44286</v>
      </c>
      <c r="C159" s="11" t="s">
        <v>245</v>
      </c>
      <c r="D159" s="11" t="s">
        <v>151</v>
      </c>
      <c r="E159" s="13" t="s">
        <v>152</v>
      </c>
      <c r="F159" s="13" t="s">
        <v>246</v>
      </c>
      <c r="G159" s="19">
        <v>1250000</v>
      </c>
      <c r="H159" s="19"/>
      <c r="I159" s="19">
        <v>1250000</v>
      </c>
      <c r="J159" s="20">
        <v>8</v>
      </c>
    </row>
    <row r="160" spans="1:10" x14ac:dyDescent="0.25">
      <c r="A160" s="18">
        <v>44286</v>
      </c>
      <c r="B160" s="18">
        <v>44286</v>
      </c>
      <c r="C160" s="11" t="s">
        <v>245</v>
      </c>
      <c r="D160" s="11" t="s">
        <v>155</v>
      </c>
      <c r="E160" s="13" t="s">
        <v>156</v>
      </c>
      <c r="F160" s="13" t="s">
        <v>246</v>
      </c>
      <c r="G160" s="19"/>
      <c r="H160" s="19">
        <v>1250000</v>
      </c>
      <c r="I160" s="19">
        <v>-1250000</v>
      </c>
      <c r="J160" s="20">
        <v>8</v>
      </c>
    </row>
    <row r="161" spans="1:10" x14ac:dyDescent="0.25">
      <c r="A161" s="18">
        <v>44377</v>
      </c>
      <c r="B161" s="18">
        <v>44377</v>
      </c>
      <c r="C161" s="11" t="s">
        <v>247</v>
      </c>
      <c r="D161" s="11" t="s">
        <v>145</v>
      </c>
      <c r="E161" s="13" t="s">
        <v>146</v>
      </c>
      <c r="F161" s="13" t="s">
        <v>231</v>
      </c>
      <c r="G161" s="19">
        <v>13400000</v>
      </c>
      <c r="H161" s="19"/>
      <c r="I161" s="19">
        <v>13400000</v>
      </c>
      <c r="J161" s="20">
        <v>9</v>
      </c>
    </row>
    <row r="162" spans="1:10" x14ac:dyDescent="0.25">
      <c r="A162" s="18">
        <v>44377</v>
      </c>
      <c r="B162" s="18">
        <v>44377</v>
      </c>
      <c r="C162" s="11" t="s">
        <v>247</v>
      </c>
      <c r="D162" s="11" t="s">
        <v>176</v>
      </c>
      <c r="E162" s="13" t="s">
        <v>177</v>
      </c>
      <c r="F162" s="13" t="s">
        <v>231</v>
      </c>
      <c r="G162" s="19"/>
      <c r="H162" s="19">
        <v>13400000</v>
      </c>
      <c r="I162" s="19">
        <v>-13400000</v>
      </c>
      <c r="J162" s="20">
        <v>9</v>
      </c>
    </row>
    <row r="163" spans="1:10" x14ac:dyDescent="0.25">
      <c r="A163" s="18">
        <v>44377</v>
      </c>
      <c r="B163" s="18">
        <v>44377</v>
      </c>
      <c r="C163" s="11" t="s">
        <v>247</v>
      </c>
      <c r="D163" s="11" t="s">
        <v>196</v>
      </c>
      <c r="E163" s="13" t="s">
        <v>197</v>
      </c>
      <c r="F163" s="13" t="s">
        <v>233</v>
      </c>
      <c r="G163" s="19">
        <v>1225000</v>
      </c>
      <c r="H163" s="19"/>
      <c r="I163" s="19">
        <v>1225000</v>
      </c>
      <c r="J163" s="20">
        <v>9</v>
      </c>
    </row>
    <row r="164" spans="1:10" x14ac:dyDescent="0.25">
      <c r="A164" s="18">
        <v>44377</v>
      </c>
      <c r="B164" s="18">
        <v>44377</v>
      </c>
      <c r="C164" s="11" t="s">
        <v>247</v>
      </c>
      <c r="D164" s="11" t="s">
        <v>170</v>
      </c>
      <c r="E164" s="13" t="s">
        <v>171</v>
      </c>
      <c r="F164" s="13" t="s">
        <v>233</v>
      </c>
      <c r="G164" s="19"/>
      <c r="H164" s="19">
        <v>1225000</v>
      </c>
      <c r="I164" s="19">
        <v>-1225000</v>
      </c>
      <c r="J164" s="20">
        <v>9</v>
      </c>
    </row>
    <row r="165" spans="1:10" x14ac:dyDescent="0.25">
      <c r="A165" s="18">
        <v>44377</v>
      </c>
      <c r="B165" s="18">
        <v>44377</v>
      </c>
      <c r="C165" s="11" t="s">
        <v>247</v>
      </c>
      <c r="D165" s="11" t="s">
        <v>170</v>
      </c>
      <c r="E165" s="13" t="s">
        <v>171</v>
      </c>
      <c r="F165" s="13" t="s">
        <v>233</v>
      </c>
      <c r="G165" s="19">
        <v>1225000</v>
      </c>
      <c r="H165" s="19"/>
      <c r="I165" s="19">
        <v>1225000</v>
      </c>
      <c r="J165" s="20">
        <v>9</v>
      </c>
    </row>
    <row r="166" spans="1:10" x14ac:dyDescent="0.25">
      <c r="A166" s="18">
        <v>44377</v>
      </c>
      <c r="B166" s="18">
        <v>44377</v>
      </c>
      <c r="C166" s="11" t="s">
        <v>247</v>
      </c>
      <c r="D166" s="11" t="s">
        <v>145</v>
      </c>
      <c r="E166" s="13" t="s">
        <v>146</v>
      </c>
      <c r="F166" s="13" t="s">
        <v>233</v>
      </c>
      <c r="G166" s="19"/>
      <c r="H166" s="19">
        <v>1225000</v>
      </c>
      <c r="I166" s="19">
        <v>-1225000</v>
      </c>
      <c r="J166" s="20">
        <v>9</v>
      </c>
    </row>
    <row r="167" spans="1:10" x14ac:dyDescent="0.25">
      <c r="A167" s="18">
        <v>44377</v>
      </c>
      <c r="B167" s="18">
        <v>44377</v>
      </c>
      <c r="C167" s="11" t="s">
        <v>247</v>
      </c>
      <c r="D167" s="11" t="s">
        <v>209</v>
      </c>
      <c r="E167" s="13" t="s">
        <v>210</v>
      </c>
      <c r="F167" s="13" t="s">
        <v>234</v>
      </c>
      <c r="G167" s="19">
        <v>62500</v>
      </c>
      <c r="H167" s="19"/>
      <c r="I167" s="19">
        <v>62500</v>
      </c>
      <c r="J167" s="20">
        <v>9</v>
      </c>
    </row>
    <row r="168" spans="1:10" x14ac:dyDescent="0.25">
      <c r="A168" s="18">
        <v>44377</v>
      </c>
      <c r="B168" s="18">
        <v>44377</v>
      </c>
      <c r="C168" s="11" t="s">
        <v>247</v>
      </c>
      <c r="D168" s="11" t="s">
        <v>205</v>
      </c>
      <c r="E168" s="13" t="s">
        <v>206</v>
      </c>
      <c r="F168" s="13" t="s">
        <v>234</v>
      </c>
      <c r="G168" s="19">
        <v>45000</v>
      </c>
      <c r="H168" s="19"/>
      <c r="I168" s="19">
        <v>45000</v>
      </c>
      <c r="J168" s="20">
        <v>9</v>
      </c>
    </row>
    <row r="169" spans="1:10" x14ac:dyDescent="0.25">
      <c r="A169" s="18">
        <v>44377</v>
      </c>
      <c r="B169" s="18">
        <v>44377</v>
      </c>
      <c r="C169" s="11" t="s">
        <v>247</v>
      </c>
      <c r="D169" s="11" t="s">
        <v>207</v>
      </c>
      <c r="E169" s="13" t="s">
        <v>208</v>
      </c>
      <c r="F169" s="13" t="s">
        <v>234</v>
      </c>
      <c r="G169" s="19">
        <v>18000</v>
      </c>
      <c r="H169" s="19"/>
      <c r="I169" s="19">
        <v>18000</v>
      </c>
      <c r="J169" s="20">
        <v>9</v>
      </c>
    </row>
    <row r="170" spans="1:10" x14ac:dyDescent="0.25">
      <c r="A170" s="18">
        <v>44377</v>
      </c>
      <c r="B170" s="18">
        <v>44377</v>
      </c>
      <c r="C170" s="11" t="s">
        <v>247</v>
      </c>
      <c r="D170" s="11" t="s">
        <v>211</v>
      </c>
      <c r="E170" s="13" t="s">
        <v>212</v>
      </c>
      <c r="F170" s="13" t="s">
        <v>234</v>
      </c>
      <c r="G170" s="19">
        <v>7500</v>
      </c>
      <c r="H170" s="19"/>
      <c r="I170" s="19">
        <v>7500</v>
      </c>
      <c r="J170" s="20">
        <v>9</v>
      </c>
    </row>
    <row r="171" spans="1:10" x14ac:dyDescent="0.25">
      <c r="A171" s="18">
        <v>44377</v>
      </c>
      <c r="B171" s="18">
        <v>44377</v>
      </c>
      <c r="C171" s="11" t="s">
        <v>247</v>
      </c>
      <c r="D171" s="11" t="s">
        <v>215</v>
      </c>
      <c r="E171" s="13" t="s">
        <v>216</v>
      </c>
      <c r="F171" s="13" t="s">
        <v>234</v>
      </c>
      <c r="G171" s="19">
        <v>9000</v>
      </c>
      <c r="H171" s="19"/>
      <c r="I171" s="19">
        <v>9000</v>
      </c>
      <c r="J171" s="20">
        <v>9</v>
      </c>
    </row>
    <row r="172" spans="1:10" x14ac:dyDescent="0.25">
      <c r="A172" s="18">
        <v>44377</v>
      </c>
      <c r="B172" s="18">
        <v>44377</v>
      </c>
      <c r="C172" s="11" t="s">
        <v>247</v>
      </c>
      <c r="D172" s="11" t="s">
        <v>166</v>
      </c>
      <c r="E172" s="13" t="s">
        <v>167</v>
      </c>
      <c r="F172" s="13" t="s">
        <v>234</v>
      </c>
      <c r="G172" s="19"/>
      <c r="H172" s="19">
        <v>142000</v>
      </c>
      <c r="I172" s="19">
        <v>-142000</v>
      </c>
      <c r="J172" s="20">
        <v>9</v>
      </c>
    </row>
    <row r="173" spans="1:10" x14ac:dyDescent="0.25">
      <c r="A173" s="18">
        <v>44377</v>
      </c>
      <c r="B173" s="18">
        <v>44377</v>
      </c>
      <c r="C173" s="11" t="s">
        <v>247</v>
      </c>
      <c r="D173" s="11" t="s">
        <v>166</v>
      </c>
      <c r="E173" s="13" t="s">
        <v>167</v>
      </c>
      <c r="F173" s="13" t="s">
        <v>234</v>
      </c>
      <c r="G173" s="19">
        <v>142000</v>
      </c>
      <c r="H173" s="19"/>
      <c r="I173" s="19">
        <v>142000</v>
      </c>
      <c r="J173" s="20">
        <v>9</v>
      </c>
    </row>
    <row r="174" spans="1:10" x14ac:dyDescent="0.25">
      <c r="A174" s="18">
        <v>44377</v>
      </c>
      <c r="B174" s="18">
        <v>44377</v>
      </c>
      <c r="C174" s="11" t="s">
        <v>247</v>
      </c>
      <c r="D174" s="11" t="s">
        <v>145</v>
      </c>
      <c r="E174" s="13" t="s">
        <v>146</v>
      </c>
      <c r="F174" s="13" t="s">
        <v>234</v>
      </c>
      <c r="G174" s="19"/>
      <c r="H174" s="19">
        <v>142000</v>
      </c>
      <c r="I174" s="19">
        <v>-142000</v>
      </c>
      <c r="J174" s="20">
        <v>9</v>
      </c>
    </row>
    <row r="175" spans="1:10" x14ac:dyDescent="0.25">
      <c r="A175" s="18">
        <v>44377</v>
      </c>
      <c r="B175" s="18">
        <v>44377</v>
      </c>
      <c r="C175" s="11" t="s">
        <v>247</v>
      </c>
      <c r="D175" s="11" t="s">
        <v>151</v>
      </c>
      <c r="E175" s="13" t="s">
        <v>152</v>
      </c>
      <c r="F175" s="13" t="s">
        <v>236</v>
      </c>
      <c r="G175" s="19">
        <v>12000000</v>
      </c>
      <c r="H175" s="19"/>
      <c r="I175" s="19">
        <v>12000000</v>
      </c>
      <c r="J175" s="20">
        <v>9</v>
      </c>
    </row>
    <row r="176" spans="1:10" x14ac:dyDescent="0.25">
      <c r="A176" s="18">
        <v>44377</v>
      </c>
      <c r="B176" s="18">
        <v>44377</v>
      </c>
      <c r="C176" s="11" t="s">
        <v>247</v>
      </c>
      <c r="D176" s="11" t="s">
        <v>145</v>
      </c>
      <c r="E176" s="13" t="s">
        <v>146</v>
      </c>
      <c r="F176" s="13" t="s">
        <v>236</v>
      </c>
      <c r="G176" s="19"/>
      <c r="H176" s="19">
        <v>12000000</v>
      </c>
      <c r="I176" s="19">
        <v>-12000000</v>
      </c>
      <c r="J176" s="20">
        <v>9</v>
      </c>
    </row>
    <row r="177" spans="1:10" x14ac:dyDescent="0.25">
      <c r="A177" s="18">
        <v>44469</v>
      </c>
      <c r="B177" s="18">
        <v>44469</v>
      </c>
      <c r="C177" s="11" t="s">
        <v>248</v>
      </c>
      <c r="D177" s="11" t="s">
        <v>145</v>
      </c>
      <c r="E177" s="13" t="s">
        <v>146</v>
      </c>
      <c r="F177" s="13" t="s">
        <v>231</v>
      </c>
      <c r="G177" s="19">
        <v>29300000</v>
      </c>
      <c r="H177" s="19"/>
      <c r="I177" s="19">
        <v>29300000</v>
      </c>
      <c r="J177" s="20">
        <v>10</v>
      </c>
    </row>
    <row r="178" spans="1:10" x14ac:dyDescent="0.25">
      <c r="A178" s="18">
        <v>44469</v>
      </c>
      <c r="B178" s="18">
        <v>44469</v>
      </c>
      <c r="C178" s="11" t="s">
        <v>248</v>
      </c>
      <c r="D178" s="11" t="s">
        <v>176</v>
      </c>
      <c r="E178" s="13" t="s">
        <v>177</v>
      </c>
      <c r="F178" s="13" t="s">
        <v>231</v>
      </c>
      <c r="G178" s="19"/>
      <c r="H178" s="19">
        <v>29300000</v>
      </c>
      <c r="I178" s="19">
        <v>-29300000</v>
      </c>
      <c r="J178" s="20">
        <v>10</v>
      </c>
    </row>
    <row r="179" spans="1:10" x14ac:dyDescent="0.25">
      <c r="A179" s="18">
        <v>44469</v>
      </c>
      <c r="B179" s="18">
        <v>44469</v>
      </c>
      <c r="C179" s="11" t="s">
        <v>248</v>
      </c>
      <c r="D179" s="11" t="s">
        <v>196</v>
      </c>
      <c r="E179" s="13" t="s">
        <v>197</v>
      </c>
      <c r="F179" s="13" t="s">
        <v>233</v>
      </c>
      <c r="G179" s="19">
        <v>1225000</v>
      </c>
      <c r="H179" s="19"/>
      <c r="I179" s="19">
        <v>1225000</v>
      </c>
      <c r="J179" s="20">
        <v>10</v>
      </c>
    </row>
    <row r="180" spans="1:10" x14ac:dyDescent="0.25">
      <c r="A180" s="18">
        <v>44469</v>
      </c>
      <c r="B180" s="18">
        <v>44469</v>
      </c>
      <c r="C180" s="11" t="s">
        <v>248</v>
      </c>
      <c r="D180" s="11" t="s">
        <v>170</v>
      </c>
      <c r="E180" s="13" t="s">
        <v>171</v>
      </c>
      <c r="F180" s="13" t="s">
        <v>233</v>
      </c>
      <c r="G180" s="19"/>
      <c r="H180" s="19">
        <v>1225000</v>
      </c>
      <c r="I180" s="19">
        <v>-1225000</v>
      </c>
      <c r="J180" s="20">
        <v>10</v>
      </c>
    </row>
    <row r="181" spans="1:10" x14ac:dyDescent="0.25">
      <c r="A181" s="18">
        <v>44469</v>
      </c>
      <c r="B181" s="18">
        <v>44469</v>
      </c>
      <c r="C181" s="11" t="s">
        <v>248</v>
      </c>
      <c r="D181" s="11" t="s">
        <v>170</v>
      </c>
      <c r="E181" s="13" t="s">
        <v>171</v>
      </c>
      <c r="F181" s="13" t="s">
        <v>233</v>
      </c>
      <c r="G181" s="19">
        <v>1225000</v>
      </c>
      <c r="H181" s="19"/>
      <c r="I181" s="19">
        <v>1225000</v>
      </c>
      <c r="J181" s="20">
        <v>10</v>
      </c>
    </row>
    <row r="182" spans="1:10" x14ac:dyDescent="0.25">
      <c r="A182" s="18">
        <v>44469</v>
      </c>
      <c r="B182" s="18">
        <v>44469</v>
      </c>
      <c r="C182" s="11" t="s">
        <v>248</v>
      </c>
      <c r="D182" s="11" t="s">
        <v>145</v>
      </c>
      <c r="E182" s="13" t="s">
        <v>146</v>
      </c>
      <c r="F182" s="13" t="s">
        <v>233</v>
      </c>
      <c r="G182" s="19"/>
      <c r="H182" s="19">
        <v>1225000</v>
      </c>
      <c r="I182" s="19">
        <v>-1225000</v>
      </c>
      <c r="J182" s="20">
        <v>10</v>
      </c>
    </row>
    <row r="183" spans="1:10" x14ac:dyDescent="0.25">
      <c r="A183" s="18">
        <v>44469</v>
      </c>
      <c r="B183" s="18">
        <v>44469</v>
      </c>
      <c r="C183" s="11" t="s">
        <v>248</v>
      </c>
      <c r="D183" s="11" t="s">
        <v>209</v>
      </c>
      <c r="E183" s="13" t="s">
        <v>210</v>
      </c>
      <c r="F183" s="13" t="s">
        <v>234</v>
      </c>
      <c r="G183" s="19">
        <v>62500</v>
      </c>
      <c r="H183" s="19"/>
      <c r="I183" s="19">
        <v>62500</v>
      </c>
      <c r="J183" s="20">
        <v>10</v>
      </c>
    </row>
    <row r="184" spans="1:10" x14ac:dyDescent="0.25">
      <c r="A184" s="18">
        <v>44469</v>
      </c>
      <c r="B184" s="18">
        <v>44469</v>
      </c>
      <c r="C184" s="11" t="s">
        <v>248</v>
      </c>
      <c r="D184" s="11" t="s">
        <v>205</v>
      </c>
      <c r="E184" s="13" t="s">
        <v>206</v>
      </c>
      <c r="F184" s="13" t="s">
        <v>234</v>
      </c>
      <c r="G184" s="19">
        <v>45000</v>
      </c>
      <c r="H184" s="19"/>
      <c r="I184" s="19">
        <v>45000</v>
      </c>
      <c r="J184" s="20">
        <v>10</v>
      </c>
    </row>
    <row r="185" spans="1:10" x14ac:dyDescent="0.25">
      <c r="A185" s="18">
        <v>44469</v>
      </c>
      <c r="B185" s="18">
        <v>44469</v>
      </c>
      <c r="C185" s="11" t="s">
        <v>248</v>
      </c>
      <c r="D185" s="11" t="s">
        <v>207</v>
      </c>
      <c r="E185" s="13" t="s">
        <v>208</v>
      </c>
      <c r="F185" s="13" t="s">
        <v>234</v>
      </c>
      <c r="G185" s="19">
        <v>18000</v>
      </c>
      <c r="H185" s="19"/>
      <c r="I185" s="19">
        <v>18000</v>
      </c>
      <c r="J185" s="20">
        <v>10</v>
      </c>
    </row>
    <row r="186" spans="1:10" x14ac:dyDescent="0.25">
      <c r="A186" s="18">
        <v>44469</v>
      </c>
      <c r="B186" s="18">
        <v>44469</v>
      </c>
      <c r="C186" s="11" t="s">
        <v>248</v>
      </c>
      <c r="D186" s="11" t="s">
        <v>211</v>
      </c>
      <c r="E186" s="13" t="s">
        <v>212</v>
      </c>
      <c r="F186" s="13" t="s">
        <v>234</v>
      </c>
      <c r="G186" s="19">
        <v>7500</v>
      </c>
      <c r="H186" s="19"/>
      <c r="I186" s="19">
        <v>7500</v>
      </c>
      <c r="J186" s="20">
        <v>10</v>
      </c>
    </row>
    <row r="187" spans="1:10" x14ac:dyDescent="0.25">
      <c r="A187" s="18">
        <v>44469</v>
      </c>
      <c r="B187" s="18">
        <v>44469</v>
      </c>
      <c r="C187" s="11" t="s">
        <v>248</v>
      </c>
      <c r="D187" s="11" t="s">
        <v>215</v>
      </c>
      <c r="E187" s="13" t="s">
        <v>216</v>
      </c>
      <c r="F187" s="13" t="s">
        <v>234</v>
      </c>
      <c r="G187" s="19">
        <v>9000</v>
      </c>
      <c r="H187" s="19"/>
      <c r="I187" s="19">
        <v>9000</v>
      </c>
      <c r="J187" s="20">
        <v>10</v>
      </c>
    </row>
    <row r="188" spans="1:10" x14ac:dyDescent="0.25">
      <c r="A188" s="18">
        <v>44469</v>
      </c>
      <c r="B188" s="18">
        <v>44469</v>
      </c>
      <c r="C188" s="11" t="s">
        <v>248</v>
      </c>
      <c r="D188" s="11" t="s">
        <v>166</v>
      </c>
      <c r="E188" s="13" t="s">
        <v>167</v>
      </c>
      <c r="F188" s="13" t="s">
        <v>234</v>
      </c>
      <c r="G188" s="19"/>
      <c r="H188" s="19">
        <v>142000</v>
      </c>
      <c r="I188" s="19">
        <v>-142000</v>
      </c>
      <c r="J188" s="20">
        <v>10</v>
      </c>
    </row>
    <row r="189" spans="1:10" x14ac:dyDescent="0.25">
      <c r="A189" s="18">
        <v>44469</v>
      </c>
      <c r="B189" s="18">
        <v>44469</v>
      </c>
      <c r="C189" s="11" t="s">
        <v>248</v>
      </c>
      <c r="D189" s="11" t="s">
        <v>166</v>
      </c>
      <c r="E189" s="13" t="s">
        <v>167</v>
      </c>
      <c r="F189" s="13" t="s">
        <v>234</v>
      </c>
      <c r="G189" s="19">
        <v>142000</v>
      </c>
      <c r="H189" s="19"/>
      <c r="I189" s="19">
        <v>142000</v>
      </c>
      <c r="J189" s="20">
        <v>10</v>
      </c>
    </row>
    <row r="190" spans="1:10" x14ac:dyDescent="0.25">
      <c r="A190" s="18">
        <v>44469</v>
      </c>
      <c r="B190" s="18">
        <v>44469</v>
      </c>
      <c r="C190" s="11" t="s">
        <v>248</v>
      </c>
      <c r="D190" s="11" t="s">
        <v>145</v>
      </c>
      <c r="E190" s="13" t="s">
        <v>146</v>
      </c>
      <c r="F190" s="13" t="s">
        <v>234</v>
      </c>
      <c r="G190" s="19"/>
      <c r="H190" s="19">
        <v>142000</v>
      </c>
      <c r="I190" s="19">
        <v>-142000</v>
      </c>
      <c r="J190" s="20">
        <v>10</v>
      </c>
    </row>
    <row r="191" spans="1:10" x14ac:dyDescent="0.25">
      <c r="A191" s="18">
        <v>44469</v>
      </c>
      <c r="B191" s="18">
        <v>44469</v>
      </c>
      <c r="C191" s="11" t="s">
        <v>248</v>
      </c>
      <c r="D191" s="11" t="s">
        <v>151</v>
      </c>
      <c r="E191" s="13" t="s">
        <v>152</v>
      </c>
      <c r="F191" s="13" t="s">
        <v>236</v>
      </c>
      <c r="G191" s="19">
        <v>28000000</v>
      </c>
      <c r="H191" s="19"/>
      <c r="I191" s="19">
        <v>28000000</v>
      </c>
      <c r="J191" s="20">
        <v>10</v>
      </c>
    </row>
    <row r="192" spans="1:10" x14ac:dyDescent="0.25">
      <c r="A192" s="18">
        <v>44469</v>
      </c>
      <c r="B192" s="18">
        <v>44469</v>
      </c>
      <c r="C192" s="11" t="s">
        <v>248</v>
      </c>
      <c r="D192" s="11" t="s">
        <v>145</v>
      </c>
      <c r="E192" s="13" t="s">
        <v>146</v>
      </c>
      <c r="F192" s="13" t="s">
        <v>236</v>
      </c>
      <c r="G192" s="19"/>
      <c r="H192" s="19">
        <v>28000000</v>
      </c>
      <c r="I192" s="19">
        <v>-28000000</v>
      </c>
      <c r="J192" s="20">
        <v>10</v>
      </c>
    </row>
    <row r="193" spans="1:10" x14ac:dyDescent="0.25">
      <c r="A193" s="18">
        <v>44561</v>
      </c>
      <c r="B193" s="18">
        <v>44561</v>
      </c>
      <c r="C193" s="11" t="s">
        <v>249</v>
      </c>
      <c r="D193" s="11" t="s">
        <v>145</v>
      </c>
      <c r="E193" s="13" t="s">
        <v>146</v>
      </c>
      <c r="F193" s="13" t="s">
        <v>231</v>
      </c>
      <c r="G193" s="19">
        <v>2800000</v>
      </c>
      <c r="H193" s="19"/>
      <c r="I193" s="19">
        <v>2800000</v>
      </c>
      <c r="J193" s="20">
        <v>11</v>
      </c>
    </row>
    <row r="194" spans="1:10" x14ac:dyDescent="0.25">
      <c r="A194" s="18">
        <v>44561</v>
      </c>
      <c r="B194" s="18">
        <v>44561</v>
      </c>
      <c r="C194" s="11" t="s">
        <v>249</v>
      </c>
      <c r="D194" s="11" t="s">
        <v>176</v>
      </c>
      <c r="E194" s="13" t="s">
        <v>177</v>
      </c>
      <c r="F194" s="13" t="s">
        <v>231</v>
      </c>
      <c r="G194" s="19"/>
      <c r="H194" s="19">
        <v>2800000</v>
      </c>
      <c r="I194" s="19">
        <v>-2800000</v>
      </c>
      <c r="J194" s="20">
        <v>11</v>
      </c>
    </row>
    <row r="195" spans="1:10" x14ac:dyDescent="0.25">
      <c r="A195" s="18">
        <v>44561</v>
      </c>
      <c r="B195" s="18">
        <v>44561</v>
      </c>
      <c r="C195" s="11" t="s">
        <v>249</v>
      </c>
      <c r="D195" s="11" t="s">
        <v>196</v>
      </c>
      <c r="E195" s="13" t="s">
        <v>197</v>
      </c>
      <c r="F195" s="13" t="s">
        <v>233</v>
      </c>
      <c r="G195" s="19">
        <v>1225000</v>
      </c>
      <c r="H195" s="19"/>
      <c r="I195" s="19">
        <v>1225000</v>
      </c>
      <c r="J195" s="20">
        <v>11</v>
      </c>
    </row>
    <row r="196" spans="1:10" x14ac:dyDescent="0.25">
      <c r="A196" s="18">
        <v>44561</v>
      </c>
      <c r="B196" s="18">
        <v>44561</v>
      </c>
      <c r="C196" s="11" t="s">
        <v>249</v>
      </c>
      <c r="D196" s="11" t="s">
        <v>170</v>
      </c>
      <c r="E196" s="13" t="s">
        <v>171</v>
      </c>
      <c r="F196" s="13" t="s">
        <v>233</v>
      </c>
      <c r="G196" s="19"/>
      <c r="H196" s="19">
        <v>1225000</v>
      </c>
      <c r="I196" s="19">
        <v>-1225000</v>
      </c>
      <c r="J196" s="20">
        <v>11</v>
      </c>
    </row>
    <row r="197" spans="1:10" x14ac:dyDescent="0.25">
      <c r="A197" s="18">
        <v>44561</v>
      </c>
      <c r="B197" s="18">
        <v>44561</v>
      </c>
      <c r="C197" s="11" t="s">
        <v>249</v>
      </c>
      <c r="D197" s="11" t="s">
        <v>170</v>
      </c>
      <c r="E197" s="13" t="s">
        <v>171</v>
      </c>
      <c r="F197" s="13" t="s">
        <v>233</v>
      </c>
      <c r="G197" s="19">
        <v>1225000</v>
      </c>
      <c r="H197" s="19"/>
      <c r="I197" s="19">
        <v>1225000</v>
      </c>
      <c r="J197" s="20">
        <v>11</v>
      </c>
    </row>
    <row r="198" spans="1:10" x14ac:dyDescent="0.25">
      <c r="A198" s="18">
        <v>44561</v>
      </c>
      <c r="B198" s="18">
        <v>44561</v>
      </c>
      <c r="C198" s="11" t="s">
        <v>249</v>
      </c>
      <c r="D198" s="11" t="s">
        <v>145</v>
      </c>
      <c r="E198" s="13" t="s">
        <v>146</v>
      </c>
      <c r="F198" s="13" t="s">
        <v>233</v>
      </c>
      <c r="G198" s="19"/>
      <c r="H198" s="19">
        <v>1225000</v>
      </c>
      <c r="I198" s="19">
        <v>-1225000</v>
      </c>
      <c r="J198" s="20">
        <v>11</v>
      </c>
    </row>
    <row r="199" spans="1:10" x14ac:dyDescent="0.25">
      <c r="A199" s="18">
        <v>44561</v>
      </c>
      <c r="B199" s="18">
        <v>44561</v>
      </c>
      <c r="C199" s="11" t="s">
        <v>249</v>
      </c>
      <c r="D199" s="11" t="s">
        <v>170</v>
      </c>
      <c r="E199" s="13" t="s">
        <v>171</v>
      </c>
      <c r="F199" s="13" t="s">
        <v>233</v>
      </c>
      <c r="G199" s="19">
        <v>350000</v>
      </c>
      <c r="H199" s="19"/>
      <c r="I199" s="19">
        <v>350000</v>
      </c>
      <c r="J199" s="20">
        <v>11</v>
      </c>
    </row>
    <row r="200" spans="1:10" x14ac:dyDescent="0.25">
      <c r="A200" s="18">
        <v>44561</v>
      </c>
      <c r="B200" s="18">
        <v>44561</v>
      </c>
      <c r="C200" s="11" t="s">
        <v>249</v>
      </c>
      <c r="D200" s="11" t="s">
        <v>199</v>
      </c>
      <c r="E200" s="13" t="s">
        <v>111</v>
      </c>
      <c r="F200" s="13" t="s">
        <v>233</v>
      </c>
      <c r="G200" s="19"/>
      <c r="H200" s="19">
        <v>350000</v>
      </c>
      <c r="I200" s="19">
        <v>-350000</v>
      </c>
      <c r="J200" s="20">
        <v>11</v>
      </c>
    </row>
    <row r="201" spans="1:10" x14ac:dyDescent="0.25">
      <c r="A201" s="18">
        <v>44561</v>
      </c>
      <c r="B201" s="18">
        <v>44561</v>
      </c>
      <c r="C201" s="11" t="s">
        <v>249</v>
      </c>
      <c r="D201" s="11" t="s">
        <v>145</v>
      </c>
      <c r="E201" s="13" t="s">
        <v>146</v>
      </c>
      <c r="F201" s="13" t="s">
        <v>233</v>
      </c>
      <c r="G201" s="19">
        <v>350000</v>
      </c>
      <c r="H201" s="19"/>
      <c r="I201" s="19">
        <v>350000</v>
      </c>
      <c r="J201" s="20">
        <v>11</v>
      </c>
    </row>
    <row r="202" spans="1:10" x14ac:dyDescent="0.25">
      <c r="A202" s="18">
        <v>44561</v>
      </c>
      <c r="B202" s="18">
        <v>44561</v>
      </c>
      <c r="C202" s="11" t="s">
        <v>249</v>
      </c>
      <c r="D202" s="11" t="s">
        <v>170</v>
      </c>
      <c r="E202" s="13" t="s">
        <v>171</v>
      </c>
      <c r="F202" s="13" t="s">
        <v>233</v>
      </c>
      <c r="G202" s="19"/>
      <c r="H202" s="19">
        <v>350000</v>
      </c>
      <c r="I202" s="19">
        <v>-350000</v>
      </c>
      <c r="J202" s="20">
        <v>11</v>
      </c>
    </row>
    <row r="203" spans="1:10" x14ac:dyDescent="0.25">
      <c r="A203" s="18">
        <v>44561</v>
      </c>
      <c r="B203" s="18">
        <v>44561</v>
      </c>
      <c r="C203" s="11" t="s">
        <v>249</v>
      </c>
      <c r="D203" s="11" t="s">
        <v>209</v>
      </c>
      <c r="E203" s="13" t="s">
        <v>210</v>
      </c>
      <c r="F203" s="13" t="s">
        <v>234</v>
      </c>
      <c r="G203" s="19">
        <v>62500</v>
      </c>
      <c r="H203" s="19"/>
      <c r="I203" s="19">
        <v>62500</v>
      </c>
      <c r="J203" s="20">
        <v>11</v>
      </c>
    </row>
    <row r="204" spans="1:10" x14ac:dyDescent="0.25">
      <c r="A204" s="18">
        <v>44561</v>
      </c>
      <c r="B204" s="18">
        <v>44561</v>
      </c>
      <c r="C204" s="11" t="s">
        <v>249</v>
      </c>
      <c r="D204" s="11" t="s">
        <v>205</v>
      </c>
      <c r="E204" s="13" t="s">
        <v>206</v>
      </c>
      <c r="F204" s="13" t="s">
        <v>234</v>
      </c>
      <c r="G204" s="19">
        <v>45000</v>
      </c>
      <c r="H204" s="19"/>
      <c r="I204" s="19">
        <v>45000</v>
      </c>
      <c r="J204" s="20">
        <v>11</v>
      </c>
    </row>
    <row r="205" spans="1:10" x14ac:dyDescent="0.25">
      <c r="A205" s="18">
        <v>44561</v>
      </c>
      <c r="B205" s="18">
        <v>44561</v>
      </c>
      <c r="C205" s="11" t="s">
        <v>249</v>
      </c>
      <c r="D205" s="11" t="s">
        <v>207</v>
      </c>
      <c r="E205" s="13" t="s">
        <v>208</v>
      </c>
      <c r="F205" s="13" t="s">
        <v>234</v>
      </c>
      <c r="G205" s="19">
        <v>18000</v>
      </c>
      <c r="H205" s="19"/>
      <c r="I205" s="19">
        <v>18000</v>
      </c>
      <c r="J205" s="20">
        <v>11</v>
      </c>
    </row>
    <row r="206" spans="1:10" x14ac:dyDescent="0.25">
      <c r="A206" s="18">
        <v>44561</v>
      </c>
      <c r="B206" s="18">
        <v>44561</v>
      </c>
      <c r="C206" s="11" t="s">
        <v>249</v>
      </c>
      <c r="D206" s="11" t="s">
        <v>211</v>
      </c>
      <c r="E206" s="13" t="s">
        <v>212</v>
      </c>
      <c r="F206" s="13" t="s">
        <v>234</v>
      </c>
      <c r="G206" s="19">
        <v>7500</v>
      </c>
      <c r="H206" s="19"/>
      <c r="I206" s="19">
        <v>7500</v>
      </c>
      <c r="J206" s="20">
        <v>11</v>
      </c>
    </row>
    <row r="207" spans="1:10" x14ac:dyDescent="0.25">
      <c r="A207" s="18">
        <v>44561</v>
      </c>
      <c r="B207" s="18">
        <v>44561</v>
      </c>
      <c r="C207" s="11" t="s">
        <v>249</v>
      </c>
      <c r="D207" s="11" t="s">
        <v>215</v>
      </c>
      <c r="E207" s="13" t="s">
        <v>216</v>
      </c>
      <c r="F207" s="13" t="s">
        <v>234</v>
      </c>
      <c r="G207" s="19">
        <v>9000</v>
      </c>
      <c r="H207" s="19"/>
      <c r="I207" s="19">
        <v>9000</v>
      </c>
      <c r="J207" s="20">
        <v>11</v>
      </c>
    </row>
    <row r="208" spans="1:10" x14ac:dyDescent="0.25">
      <c r="A208" s="18">
        <v>44561</v>
      </c>
      <c r="B208" s="18">
        <v>44561</v>
      </c>
      <c r="C208" s="11" t="s">
        <v>249</v>
      </c>
      <c r="D208" s="11" t="s">
        <v>166</v>
      </c>
      <c r="E208" s="13" t="s">
        <v>167</v>
      </c>
      <c r="F208" s="13" t="s">
        <v>234</v>
      </c>
      <c r="G208" s="19"/>
      <c r="H208" s="19">
        <v>142000</v>
      </c>
      <c r="I208" s="19">
        <v>-142000</v>
      </c>
      <c r="J208" s="20">
        <v>11</v>
      </c>
    </row>
    <row r="209" spans="1:10" x14ac:dyDescent="0.25">
      <c r="A209" s="18">
        <v>44561</v>
      </c>
      <c r="B209" s="18">
        <v>44561</v>
      </c>
      <c r="C209" s="11" t="s">
        <v>249</v>
      </c>
      <c r="D209" s="11" t="s">
        <v>166</v>
      </c>
      <c r="E209" s="13" t="s">
        <v>167</v>
      </c>
      <c r="F209" s="13" t="s">
        <v>234</v>
      </c>
      <c r="G209" s="19">
        <v>142000</v>
      </c>
      <c r="H209" s="19"/>
      <c r="I209" s="19">
        <v>142000</v>
      </c>
      <c r="J209" s="20">
        <v>11</v>
      </c>
    </row>
    <row r="210" spans="1:10" x14ac:dyDescent="0.25">
      <c r="A210" s="18">
        <v>44561</v>
      </c>
      <c r="B210" s="18">
        <v>44561</v>
      </c>
      <c r="C210" s="11" t="s">
        <v>249</v>
      </c>
      <c r="D210" s="11" t="s">
        <v>145</v>
      </c>
      <c r="E210" s="13" t="s">
        <v>146</v>
      </c>
      <c r="F210" s="13" t="s">
        <v>234</v>
      </c>
      <c r="G210" s="19"/>
      <c r="H210" s="19">
        <v>142000</v>
      </c>
      <c r="I210" s="19">
        <v>-142000</v>
      </c>
      <c r="J210" s="20">
        <v>11</v>
      </c>
    </row>
    <row r="211" spans="1:10" x14ac:dyDescent="0.25">
      <c r="A211" s="18">
        <v>44561</v>
      </c>
      <c r="B211" s="18">
        <v>44561</v>
      </c>
      <c r="C211" s="11" t="s">
        <v>249</v>
      </c>
      <c r="D211" s="11" t="s">
        <v>153</v>
      </c>
      <c r="E211" s="13" t="s">
        <v>154</v>
      </c>
      <c r="F211" s="13" t="s">
        <v>240</v>
      </c>
      <c r="G211" s="19">
        <v>30000000</v>
      </c>
      <c r="H211" s="19"/>
      <c r="I211" s="19">
        <v>30000000</v>
      </c>
      <c r="J211" s="20">
        <v>11</v>
      </c>
    </row>
    <row r="212" spans="1:10" x14ac:dyDescent="0.25">
      <c r="A212" s="18">
        <v>44561</v>
      </c>
      <c r="B212" s="18">
        <v>44561</v>
      </c>
      <c r="C212" s="11" t="s">
        <v>249</v>
      </c>
      <c r="D212" s="11" t="s">
        <v>219</v>
      </c>
      <c r="E212" s="13" t="s">
        <v>220</v>
      </c>
      <c r="F212" s="13" t="s">
        <v>240</v>
      </c>
      <c r="G212" s="19"/>
      <c r="H212" s="19">
        <v>30000000</v>
      </c>
      <c r="I212" s="19">
        <v>-30000000</v>
      </c>
      <c r="J212" s="20">
        <v>11</v>
      </c>
    </row>
    <row r="213" spans="1:10" x14ac:dyDescent="0.25">
      <c r="A213" s="18">
        <v>44651</v>
      </c>
      <c r="B213" s="18">
        <v>44651</v>
      </c>
      <c r="C213" s="11" t="s">
        <v>250</v>
      </c>
      <c r="D213" s="11" t="s">
        <v>145</v>
      </c>
      <c r="E213" s="13" t="s">
        <v>146</v>
      </c>
      <c r="F213" s="13" t="s">
        <v>231</v>
      </c>
      <c r="G213" s="19">
        <v>20700000</v>
      </c>
      <c r="H213" s="19"/>
      <c r="I213" s="19">
        <v>20700000</v>
      </c>
      <c r="J213" s="20">
        <v>12</v>
      </c>
    </row>
    <row r="214" spans="1:10" x14ac:dyDescent="0.25">
      <c r="A214" s="18">
        <v>44651</v>
      </c>
      <c r="B214" s="18">
        <v>44651</v>
      </c>
      <c r="C214" s="11" t="s">
        <v>250</v>
      </c>
      <c r="D214" s="11" t="s">
        <v>176</v>
      </c>
      <c r="E214" s="13" t="s">
        <v>177</v>
      </c>
      <c r="F214" s="13" t="s">
        <v>231</v>
      </c>
      <c r="G214" s="19"/>
      <c r="H214" s="19">
        <v>20700000</v>
      </c>
      <c r="I214" s="19">
        <v>-20700000</v>
      </c>
      <c r="J214" s="20">
        <v>12</v>
      </c>
    </row>
    <row r="215" spans="1:10" x14ac:dyDescent="0.25">
      <c r="A215" s="18">
        <v>44651</v>
      </c>
      <c r="B215" s="18">
        <v>44651</v>
      </c>
      <c r="C215" s="11" t="s">
        <v>250</v>
      </c>
      <c r="D215" s="11" t="s">
        <v>196</v>
      </c>
      <c r="E215" s="13" t="s">
        <v>197</v>
      </c>
      <c r="F215" s="13" t="s">
        <v>233</v>
      </c>
      <c r="G215" s="19">
        <v>1225000</v>
      </c>
      <c r="H215" s="19"/>
      <c r="I215" s="19">
        <v>1225000</v>
      </c>
      <c r="J215" s="20">
        <v>12</v>
      </c>
    </row>
    <row r="216" spans="1:10" x14ac:dyDescent="0.25">
      <c r="A216" s="18">
        <v>44651</v>
      </c>
      <c r="B216" s="18">
        <v>44651</v>
      </c>
      <c r="C216" s="11" t="s">
        <v>250</v>
      </c>
      <c r="D216" s="11" t="s">
        <v>170</v>
      </c>
      <c r="E216" s="13" t="s">
        <v>171</v>
      </c>
      <c r="F216" s="13" t="s">
        <v>233</v>
      </c>
      <c r="G216" s="19"/>
      <c r="H216" s="19">
        <v>1225000</v>
      </c>
      <c r="I216" s="19">
        <v>-1225000</v>
      </c>
      <c r="J216" s="20">
        <v>12</v>
      </c>
    </row>
    <row r="217" spans="1:10" x14ac:dyDescent="0.25">
      <c r="A217" s="18">
        <v>44651</v>
      </c>
      <c r="B217" s="18">
        <v>44651</v>
      </c>
      <c r="C217" s="11" t="s">
        <v>250</v>
      </c>
      <c r="D217" s="11" t="s">
        <v>170</v>
      </c>
      <c r="E217" s="13" t="s">
        <v>171</v>
      </c>
      <c r="F217" s="13" t="s">
        <v>233</v>
      </c>
      <c r="G217" s="19">
        <v>1225000</v>
      </c>
      <c r="H217" s="19"/>
      <c r="I217" s="19">
        <v>1225000</v>
      </c>
      <c r="J217" s="20">
        <v>12</v>
      </c>
    </row>
    <row r="218" spans="1:10" x14ac:dyDescent="0.25">
      <c r="A218" s="18">
        <v>44651</v>
      </c>
      <c r="B218" s="18">
        <v>44651</v>
      </c>
      <c r="C218" s="11" t="s">
        <v>250</v>
      </c>
      <c r="D218" s="11" t="s">
        <v>145</v>
      </c>
      <c r="E218" s="13" t="s">
        <v>146</v>
      </c>
      <c r="F218" s="13" t="s">
        <v>233</v>
      </c>
      <c r="G218" s="19"/>
      <c r="H218" s="19">
        <v>1225000</v>
      </c>
      <c r="I218" s="19">
        <v>-1225000</v>
      </c>
      <c r="J218" s="20">
        <v>12</v>
      </c>
    </row>
    <row r="219" spans="1:10" x14ac:dyDescent="0.25">
      <c r="A219" s="18">
        <v>44651</v>
      </c>
      <c r="B219" s="18">
        <v>44651</v>
      </c>
      <c r="C219" s="11" t="s">
        <v>250</v>
      </c>
      <c r="D219" s="11" t="s">
        <v>209</v>
      </c>
      <c r="E219" s="13" t="s">
        <v>210</v>
      </c>
      <c r="F219" s="13" t="s">
        <v>234</v>
      </c>
      <c r="G219" s="19">
        <v>62500</v>
      </c>
      <c r="H219" s="19"/>
      <c r="I219" s="19">
        <v>62500</v>
      </c>
      <c r="J219" s="20">
        <v>12</v>
      </c>
    </row>
    <row r="220" spans="1:10" x14ac:dyDescent="0.25">
      <c r="A220" s="18">
        <v>44651</v>
      </c>
      <c r="B220" s="18">
        <v>44651</v>
      </c>
      <c r="C220" s="11" t="s">
        <v>250</v>
      </c>
      <c r="D220" s="11" t="s">
        <v>205</v>
      </c>
      <c r="E220" s="13" t="s">
        <v>206</v>
      </c>
      <c r="F220" s="13" t="s">
        <v>234</v>
      </c>
      <c r="G220" s="19">
        <v>45000</v>
      </c>
      <c r="H220" s="19"/>
      <c r="I220" s="19">
        <v>45000</v>
      </c>
      <c r="J220" s="20">
        <v>12</v>
      </c>
    </row>
    <row r="221" spans="1:10" x14ac:dyDescent="0.25">
      <c r="A221" s="18">
        <v>44651</v>
      </c>
      <c r="B221" s="18">
        <v>44651</v>
      </c>
      <c r="C221" s="11" t="s">
        <v>250</v>
      </c>
      <c r="D221" s="11" t="s">
        <v>207</v>
      </c>
      <c r="E221" s="13" t="s">
        <v>208</v>
      </c>
      <c r="F221" s="13" t="s">
        <v>234</v>
      </c>
      <c r="G221" s="19">
        <v>18000</v>
      </c>
      <c r="H221" s="19"/>
      <c r="I221" s="19">
        <v>18000</v>
      </c>
      <c r="J221" s="20">
        <v>12</v>
      </c>
    </row>
    <row r="222" spans="1:10" x14ac:dyDescent="0.25">
      <c r="A222" s="18">
        <v>44651</v>
      </c>
      <c r="B222" s="18">
        <v>44651</v>
      </c>
      <c r="C222" s="11" t="s">
        <v>250</v>
      </c>
      <c r="D222" s="11" t="s">
        <v>211</v>
      </c>
      <c r="E222" s="13" t="s">
        <v>212</v>
      </c>
      <c r="F222" s="13" t="s">
        <v>234</v>
      </c>
      <c r="G222" s="19">
        <v>7500</v>
      </c>
      <c r="H222" s="19"/>
      <c r="I222" s="19">
        <v>7500</v>
      </c>
      <c r="J222" s="20">
        <v>12</v>
      </c>
    </row>
    <row r="223" spans="1:10" x14ac:dyDescent="0.25">
      <c r="A223" s="18">
        <v>44651</v>
      </c>
      <c r="B223" s="18">
        <v>44651</v>
      </c>
      <c r="C223" s="11" t="s">
        <v>250</v>
      </c>
      <c r="D223" s="11" t="s">
        <v>215</v>
      </c>
      <c r="E223" s="13" t="s">
        <v>216</v>
      </c>
      <c r="F223" s="13" t="s">
        <v>234</v>
      </c>
      <c r="G223" s="19">
        <v>9000</v>
      </c>
      <c r="H223" s="19"/>
      <c r="I223" s="19">
        <v>9000</v>
      </c>
      <c r="J223" s="20">
        <v>12</v>
      </c>
    </row>
    <row r="224" spans="1:10" x14ac:dyDescent="0.25">
      <c r="A224" s="18">
        <v>44651</v>
      </c>
      <c r="B224" s="18">
        <v>44651</v>
      </c>
      <c r="C224" s="11" t="s">
        <v>250</v>
      </c>
      <c r="D224" s="11" t="s">
        <v>166</v>
      </c>
      <c r="E224" s="13" t="s">
        <v>167</v>
      </c>
      <c r="F224" s="13" t="s">
        <v>234</v>
      </c>
      <c r="G224" s="19"/>
      <c r="H224" s="19">
        <v>142000</v>
      </c>
      <c r="I224" s="19">
        <v>-142000</v>
      </c>
      <c r="J224" s="20">
        <v>12</v>
      </c>
    </row>
    <row r="225" spans="1:10" x14ac:dyDescent="0.25">
      <c r="A225" s="18">
        <v>44651</v>
      </c>
      <c r="B225" s="18">
        <v>44651</v>
      </c>
      <c r="C225" s="11" t="s">
        <v>250</v>
      </c>
      <c r="D225" s="11" t="s">
        <v>166</v>
      </c>
      <c r="E225" s="13" t="s">
        <v>167</v>
      </c>
      <c r="F225" s="13" t="s">
        <v>234</v>
      </c>
      <c r="G225" s="19">
        <v>142000</v>
      </c>
      <c r="H225" s="19"/>
      <c r="I225" s="19">
        <v>142000</v>
      </c>
      <c r="J225" s="20">
        <v>12</v>
      </c>
    </row>
    <row r="226" spans="1:10" x14ac:dyDescent="0.25">
      <c r="A226" s="18">
        <v>44651</v>
      </c>
      <c r="B226" s="18">
        <v>44651</v>
      </c>
      <c r="C226" s="11" t="s">
        <v>250</v>
      </c>
      <c r="D226" s="11" t="s">
        <v>145</v>
      </c>
      <c r="E226" s="13" t="s">
        <v>146</v>
      </c>
      <c r="F226" s="13" t="s">
        <v>234</v>
      </c>
      <c r="G226" s="19"/>
      <c r="H226" s="19">
        <v>142000</v>
      </c>
      <c r="I226" s="19">
        <v>-142000</v>
      </c>
      <c r="J226" s="20">
        <v>12</v>
      </c>
    </row>
    <row r="227" spans="1:10" x14ac:dyDescent="0.25">
      <c r="A227" s="18">
        <v>44651</v>
      </c>
      <c r="B227" s="18">
        <v>44651</v>
      </c>
      <c r="C227" s="11" t="s">
        <v>250</v>
      </c>
      <c r="D227" s="11" t="s">
        <v>151</v>
      </c>
      <c r="E227" s="13" t="s">
        <v>152</v>
      </c>
      <c r="F227" s="13" t="s">
        <v>236</v>
      </c>
      <c r="G227" s="19">
        <v>20000000</v>
      </c>
      <c r="H227" s="19"/>
      <c r="I227" s="19">
        <v>20000000</v>
      </c>
      <c r="J227" s="20">
        <v>12</v>
      </c>
    </row>
    <row r="228" spans="1:10" x14ac:dyDescent="0.25">
      <c r="A228" s="18">
        <v>44651</v>
      </c>
      <c r="B228" s="18">
        <v>44651</v>
      </c>
      <c r="C228" s="11" t="s">
        <v>250</v>
      </c>
      <c r="D228" s="11" t="s">
        <v>145</v>
      </c>
      <c r="E228" s="13" t="s">
        <v>146</v>
      </c>
      <c r="F228" s="13" t="s">
        <v>236</v>
      </c>
      <c r="G228" s="19"/>
      <c r="H228" s="19">
        <v>20000000</v>
      </c>
      <c r="I228" s="19">
        <v>-20000000</v>
      </c>
      <c r="J228" s="20">
        <v>12</v>
      </c>
    </row>
    <row r="229" spans="1:10" x14ac:dyDescent="0.25">
      <c r="A229" s="18">
        <v>44742</v>
      </c>
      <c r="B229" s="18">
        <v>44742</v>
      </c>
      <c r="C229" s="11" t="s">
        <v>251</v>
      </c>
      <c r="D229" s="11" t="s">
        <v>145</v>
      </c>
      <c r="E229" s="13" t="s">
        <v>146</v>
      </c>
      <c r="F229" s="13" t="s">
        <v>231</v>
      </c>
      <c r="G229" s="19">
        <v>7300000</v>
      </c>
      <c r="H229" s="19"/>
      <c r="I229" s="19">
        <v>7300000</v>
      </c>
      <c r="J229" s="20">
        <v>13</v>
      </c>
    </row>
    <row r="230" spans="1:10" x14ac:dyDescent="0.25">
      <c r="A230" s="18">
        <v>44742</v>
      </c>
      <c r="B230" s="18">
        <v>44742</v>
      </c>
      <c r="C230" s="11" t="s">
        <v>251</v>
      </c>
      <c r="D230" s="11" t="s">
        <v>176</v>
      </c>
      <c r="E230" s="13" t="s">
        <v>177</v>
      </c>
      <c r="F230" s="13" t="s">
        <v>231</v>
      </c>
      <c r="G230" s="19"/>
      <c r="H230" s="19">
        <v>7300000</v>
      </c>
      <c r="I230" s="19">
        <v>-7300000</v>
      </c>
      <c r="J230" s="20">
        <v>13</v>
      </c>
    </row>
    <row r="231" spans="1:10" x14ac:dyDescent="0.25">
      <c r="A231" s="18">
        <v>44742</v>
      </c>
      <c r="B231" s="18">
        <v>44742</v>
      </c>
      <c r="C231" s="11" t="s">
        <v>251</v>
      </c>
      <c r="D231" s="11" t="s">
        <v>196</v>
      </c>
      <c r="E231" s="13" t="s">
        <v>197</v>
      </c>
      <c r="F231" s="13" t="s">
        <v>233</v>
      </c>
      <c r="G231" s="19">
        <v>1225000</v>
      </c>
      <c r="H231" s="19"/>
      <c r="I231" s="19">
        <v>1225000</v>
      </c>
      <c r="J231" s="20">
        <v>13</v>
      </c>
    </row>
    <row r="232" spans="1:10" x14ac:dyDescent="0.25">
      <c r="A232" s="18">
        <v>44742</v>
      </c>
      <c r="B232" s="18">
        <v>44742</v>
      </c>
      <c r="C232" s="11" t="s">
        <v>251</v>
      </c>
      <c r="D232" s="11" t="s">
        <v>170</v>
      </c>
      <c r="E232" s="13" t="s">
        <v>171</v>
      </c>
      <c r="F232" s="13" t="s">
        <v>233</v>
      </c>
      <c r="G232" s="19"/>
      <c r="H232" s="19">
        <v>1225000</v>
      </c>
      <c r="I232" s="19">
        <v>-1225000</v>
      </c>
      <c r="J232" s="20">
        <v>13</v>
      </c>
    </row>
    <row r="233" spans="1:10" x14ac:dyDescent="0.25">
      <c r="A233" s="18">
        <v>44742</v>
      </c>
      <c r="B233" s="18">
        <v>44742</v>
      </c>
      <c r="C233" s="11" t="s">
        <v>251</v>
      </c>
      <c r="D233" s="11" t="s">
        <v>170</v>
      </c>
      <c r="E233" s="13" t="s">
        <v>171</v>
      </c>
      <c r="F233" s="13" t="s">
        <v>233</v>
      </c>
      <c r="G233" s="19">
        <v>1225000</v>
      </c>
      <c r="H233" s="19"/>
      <c r="I233" s="19">
        <v>1225000</v>
      </c>
      <c r="J233" s="20">
        <v>13</v>
      </c>
    </row>
    <row r="234" spans="1:10" x14ac:dyDescent="0.25">
      <c r="A234" s="18">
        <v>44742</v>
      </c>
      <c r="B234" s="18">
        <v>44742</v>
      </c>
      <c r="C234" s="11" t="s">
        <v>251</v>
      </c>
      <c r="D234" s="11" t="s">
        <v>145</v>
      </c>
      <c r="E234" s="13" t="s">
        <v>146</v>
      </c>
      <c r="F234" s="13" t="s">
        <v>233</v>
      </c>
      <c r="G234" s="19"/>
      <c r="H234" s="19">
        <v>1225000</v>
      </c>
      <c r="I234" s="19">
        <v>-1225000</v>
      </c>
      <c r="J234" s="20">
        <v>13</v>
      </c>
    </row>
    <row r="235" spans="1:10" x14ac:dyDescent="0.25">
      <c r="A235" s="18">
        <v>44742</v>
      </c>
      <c r="B235" s="18">
        <v>44742</v>
      </c>
      <c r="C235" s="11" t="s">
        <v>251</v>
      </c>
      <c r="D235" s="11" t="s">
        <v>209</v>
      </c>
      <c r="E235" s="13" t="s">
        <v>210</v>
      </c>
      <c r="F235" s="13" t="s">
        <v>234</v>
      </c>
      <c r="G235" s="19">
        <v>62500</v>
      </c>
      <c r="H235" s="19"/>
      <c r="I235" s="19">
        <v>62500</v>
      </c>
      <c r="J235" s="20">
        <v>13</v>
      </c>
    </row>
    <row r="236" spans="1:10" x14ac:dyDescent="0.25">
      <c r="A236" s="18">
        <v>44742</v>
      </c>
      <c r="B236" s="18">
        <v>44742</v>
      </c>
      <c r="C236" s="11" t="s">
        <v>251</v>
      </c>
      <c r="D236" s="11" t="s">
        <v>205</v>
      </c>
      <c r="E236" s="13" t="s">
        <v>206</v>
      </c>
      <c r="F236" s="13" t="s">
        <v>234</v>
      </c>
      <c r="G236" s="19">
        <v>45000</v>
      </c>
      <c r="H236" s="19"/>
      <c r="I236" s="19">
        <v>45000</v>
      </c>
      <c r="J236" s="20">
        <v>13</v>
      </c>
    </row>
    <row r="237" spans="1:10" x14ac:dyDescent="0.25">
      <c r="A237" s="18">
        <v>44742</v>
      </c>
      <c r="B237" s="18">
        <v>44742</v>
      </c>
      <c r="C237" s="11" t="s">
        <v>251</v>
      </c>
      <c r="D237" s="11" t="s">
        <v>207</v>
      </c>
      <c r="E237" s="13" t="s">
        <v>208</v>
      </c>
      <c r="F237" s="13" t="s">
        <v>234</v>
      </c>
      <c r="G237" s="19">
        <v>18000</v>
      </c>
      <c r="H237" s="19"/>
      <c r="I237" s="19">
        <v>18000</v>
      </c>
      <c r="J237" s="20">
        <v>13</v>
      </c>
    </row>
    <row r="238" spans="1:10" x14ac:dyDescent="0.25">
      <c r="A238" s="18">
        <v>44742</v>
      </c>
      <c r="B238" s="18">
        <v>44742</v>
      </c>
      <c r="C238" s="11" t="s">
        <v>251</v>
      </c>
      <c r="D238" s="11" t="s">
        <v>211</v>
      </c>
      <c r="E238" s="13" t="s">
        <v>212</v>
      </c>
      <c r="F238" s="13" t="s">
        <v>234</v>
      </c>
      <c r="G238" s="19">
        <v>7500</v>
      </c>
      <c r="H238" s="19"/>
      <c r="I238" s="19">
        <v>7500</v>
      </c>
      <c r="J238" s="20">
        <v>13</v>
      </c>
    </row>
    <row r="239" spans="1:10" x14ac:dyDescent="0.25">
      <c r="A239" s="18">
        <v>44742</v>
      </c>
      <c r="B239" s="18">
        <v>44742</v>
      </c>
      <c r="C239" s="11" t="s">
        <v>251</v>
      </c>
      <c r="D239" s="11" t="s">
        <v>215</v>
      </c>
      <c r="E239" s="13" t="s">
        <v>216</v>
      </c>
      <c r="F239" s="13" t="s">
        <v>234</v>
      </c>
      <c r="G239" s="19">
        <v>9000</v>
      </c>
      <c r="H239" s="19"/>
      <c r="I239" s="19">
        <v>9000</v>
      </c>
      <c r="J239" s="20">
        <v>13</v>
      </c>
    </row>
    <row r="240" spans="1:10" x14ac:dyDescent="0.25">
      <c r="A240" s="18">
        <v>44742</v>
      </c>
      <c r="B240" s="18">
        <v>44742</v>
      </c>
      <c r="C240" s="11" t="s">
        <v>251</v>
      </c>
      <c r="D240" s="11" t="s">
        <v>166</v>
      </c>
      <c r="E240" s="13" t="s">
        <v>167</v>
      </c>
      <c r="F240" s="13" t="s">
        <v>234</v>
      </c>
      <c r="G240" s="19"/>
      <c r="H240" s="19">
        <v>142000</v>
      </c>
      <c r="I240" s="19">
        <v>-142000</v>
      </c>
      <c r="J240" s="20">
        <v>13</v>
      </c>
    </row>
    <row r="241" spans="1:10" x14ac:dyDescent="0.25">
      <c r="A241" s="18">
        <v>44742</v>
      </c>
      <c r="B241" s="18">
        <v>44742</v>
      </c>
      <c r="C241" s="11" t="s">
        <v>251</v>
      </c>
      <c r="D241" s="11" t="s">
        <v>166</v>
      </c>
      <c r="E241" s="13" t="s">
        <v>167</v>
      </c>
      <c r="F241" s="13" t="s">
        <v>234</v>
      </c>
      <c r="G241" s="19">
        <v>142000</v>
      </c>
      <c r="H241" s="19"/>
      <c r="I241" s="19">
        <v>142000</v>
      </c>
      <c r="J241" s="20">
        <v>13</v>
      </c>
    </row>
    <row r="242" spans="1:10" x14ac:dyDescent="0.25">
      <c r="A242" s="18">
        <v>44742</v>
      </c>
      <c r="B242" s="18">
        <v>44742</v>
      </c>
      <c r="C242" s="11" t="s">
        <v>251</v>
      </c>
      <c r="D242" s="11" t="s">
        <v>145</v>
      </c>
      <c r="E242" s="13" t="s">
        <v>146</v>
      </c>
      <c r="F242" s="13" t="s">
        <v>234</v>
      </c>
      <c r="G242" s="19"/>
      <c r="H242" s="19">
        <v>142000</v>
      </c>
      <c r="I242" s="19">
        <v>-142000</v>
      </c>
      <c r="J242" s="20">
        <v>13</v>
      </c>
    </row>
    <row r="243" spans="1:10" x14ac:dyDescent="0.25">
      <c r="A243" s="18">
        <v>44742</v>
      </c>
      <c r="B243" s="18">
        <v>44742</v>
      </c>
      <c r="C243" s="11" t="s">
        <v>251</v>
      </c>
      <c r="D243" s="11" t="s">
        <v>151</v>
      </c>
      <c r="E243" s="13" t="s">
        <v>152</v>
      </c>
      <c r="F243" s="13" t="s">
        <v>236</v>
      </c>
      <c r="G243" s="19">
        <v>6000000</v>
      </c>
      <c r="H243" s="19"/>
      <c r="I243" s="19">
        <v>6000000</v>
      </c>
      <c r="J243" s="20">
        <v>13</v>
      </c>
    </row>
    <row r="244" spans="1:10" x14ac:dyDescent="0.25">
      <c r="A244" s="18">
        <v>44742</v>
      </c>
      <c r="B244" s="18">
        <v>44742</v>
      </c>
      <c r="C244" s="11" t="s">
        <v>251</v>
      </c>
      <c r="D244" s="11" t="s">
        <v>145</v>
      </c>
      <c r="E244" s="13" t="s">
        <v>146</v>
      </c>
      <c r="F244" s="13" t="s">
        <v>236</v>
      </c>
      <c r="G244" s="19"/>
      <c r="H244" s="19">
        <v>6000000</v>
      </c>
      <c r="I244" s="19">
        <v>-6000000</v>
      </c>
      <c r="J244" s="20">
        <v>13</v>
      </c>
    </row>
    <row r="245" spans="1:10" x14ac:dyDescent="0.25">
      <c r="A245" s="18">
        <v>44742</v>
      </c>
      <c r="B245" s="18">
        <v>44742</v>
      </c>
      <c r="C245" s="11" t="s">
        <v>251</v>
      </c>
      <c r="D245" s="11" t="s">
        <v>151</v>
      </c>
      <c r="E245" s="13" t="s">
        <v>152</v>
      </c>
      <c r="F245" s="13" t="s">
        <v>252</v>
      </c>
      <c r="G245" s="19">
        <v>420000</v>
      </c>
      <c r="H245" s="19"/>
      <c r="I245" s="19">
        <v>420000</v>
      </c>
      <c r="J245" s="20">
        <v>13</v>
      </c>
    </row>
    <row r="246" spans="1:10" x14ac:dyDescent="0.25">
      <c r="A246" s="18">
        <v>44742</v>
      </c>
      <c r="B246" s="18">
        <v>44742</v>
      </c>
      <c r="C246" s="11" t="s">
        <v>251</v>
      </c>
      <c r="D246" s="11" t="s">
        <v>188</v>
      </c>
      <c r="E246" s="13" t="s">
        <v>189</v>
      </c>
      <c r="F246" s="13" t="s">
        <v>236</v>
      </c>
      <c r="G246" s="19"/>
      <c r="H246" s="19">
        <v>420000</v>
      </c>
      <c r="I246" s="19">
        <v>-420000</v>
      </c>
      <c r="J246" s="20">
        <v>13</v>
      </c>
    </row>
    <row r="247" spans="1:10" x14ac:dyDescent="0.25">
      <c r="A247" s="18">
        <v>44742</v>
      </c>
      <c r="B247" s="18">
        <v>44742</v>
      </c>
      <c r="C247" s="11" t="s">
        <v>251</v>
      </c>
      <c r="D247" s="11" t="s">
        <v>219</v>
      </c>
      <c r="E247" s="13" t="s">
        <v>220</v>
      </c>
      <c r="F247" s="13" t="s">
        <v>240</v>
      </c>
      <c r="G247" s="19">
        <v>4000000</v>
      </c>
      <c r="H247" s="19"/>
      <c r="I247" s="19">
        <v>4000000</v>
      </c>
      <c r="J247" s="20">
        <v>13</v>
      </c>
    </row>
    <row r="248" spans="1:10" x14ac:dyDescent="0.25">
      <c r="A248" s="18">
        <v>44742</v>
      </c>
      <c r="B248" s="18">
        <v>44742</v>
      </c>
      <c r="C248" s="11" t="s">
        <v>251</v>
      </c>
      <c r="D248" s="11" t="s">
        <v>153</v>
      </c>
      <c r="E248" s="13" t="s">
        <v>154</v>
      </c>
      <c r="F248" s="13" t="s">
        <v>240</v>
      </c>
      <c r="G248" s="19"/>
      <c r="H248" s="19">
        <v>4000000</v>
      </c>
      <c r="I248" s="19">
        <v>-4000000</v>
      </c>
      <c r="J248" s="20">
        <v>13</v>
      </c>
    </row>
    <row r="249" spans="1:10" x14ac:dyDescent="0.25">
      <c r="A249" s="18">
        <v>44834</v>
      </c>
      <c r="B249" s="18">
        <v>44834</v>
      </c>
      <c r="C249" s="11" t="s">
        <v>253</v>
      </c>
      <c r="D249" s="11" t="s">
        <v>145</v>
      </c>
      <c r="E249" s="13" t="s">
        <v>146</v>
      </c>
      <c r="F249" s="13" t="s">
        <v>231</v>
      </c>
      <c r="G249" s="19">
        <v>1400000</v>
      </c>
      <c r="H249" s="19"/>
      <c r="I249" s="19">
        <v>1400000</v>
      </c>
      <c r="J249" s="20">
        <v>14</v>
      </c>
    </row>
    <row r="250" spans="1:10" x14ac:dyDescent="0.25">
      <c r="A250" s="18">
        <v>44834</v>
      </c>
      <c r="B250" s="18">
        <v>44834</v>
      </c>
      <c r="C250" s="11" t="s">
        <v>253</v>
      </c>
      <c r="D250" s="11" t="s">
        <v>176</v>
      </c>
      <c r="E250" s="13" t="s">
        <v>177</v>
      </c>
      <c r="F250" s="13" t="s">
        <v>231</v>
      </c>
      <c r="G250" s="19"/>
      <c r="H250" s="19">
        <v>1400000</v>
      </c>
      <c r="I250" s="19">
        <v>-1400000</v>
      </c>
      <c r="J250" s="20">
        <v>14</v>
      </c>
    </row>
    <row r="251" spans="1:10" x14ac:dyDescent="0.25">
      <c r="A251" s="18">
        <v>44834</v>
      </c>
      <c r="B251" s="18">
        <v>44834</v>
      </c>
      <c r="C251" s="11" t="s">
        <v>253</v>
      </c>
      <c r="D251" s="11" t="s">
        <v>196</v>
      </c>
      <c r="E251" s="13" t="s">
        <v>197</v>
      </c>
      <c r="F251" s="13" t="s">
        <v>233</v>
      </c>
      <c r="G251" s="19">
        <v>1225000</v>
      </c>
      <c r="H251" s="19"/>
      <c r="I251" s="19">
        <v>1225000</v>
      </c>
      <c r="J251" s="20">
        <v>14</v>
      </c>
    </row>
    <row r="252" spans="1:10" x14ac:dyDescent="0.25">
      <c r="A252" s="18">
        <v>44834</v>
      </c>
      <c r="B252" s="18">
        <v>44834</v>
      </c>
      <c r="C252" s="11" t="s">
        <v>253</v>
      </c>
      <c r="D252" s="11" t="s">
        <v>170</v>
      </c>
      <c r="E252" s="13" t="s">
        <v>171</v>
      </c>
      <c r="F252" s="13" t="s">
        <v>233</v>
      </c>
      <c r="G252" s="19"/>
      <c r="H252" s="19">
        <v>1225000</v>
      </c>
      <c r="I252" s="19">
        <v>-1225000</v>
      </c>
      <c r="J252" s="20">
        <v>14</v>
      </c>
    </row>
    <row r="253" spans="1:10" x14ac:dyDescent="0.25">
      <c r="A253" s="18">
        <v>44834</v>
      </c>
      <c r="B253" s="18">
        <v>44834</v>
      </c>
      <c r="C253" s="11" t="s">
        <v>253</v>
      </c>
      <c r="D253" s="11" t="s">
        <v>170</v>
      </c>
      <c r="E253" s="13" t="s">
        <v>171</v>
      </c>
      <c r="F253" s="13" t="s">
        <v>233</v>
      </c>
      <c r="G253" s="19">
        <v>1225000</v>
      </c>
      <c r="H253" s="19"/>
      <c r="I253" s="19">
        <v>1225000</v>
      </c>
      <c r="J253" s="20">
        <v>14</v>
      </c>
    </row>
    <row r="254" spans="1:10" x14ac:dyDescent="0.25">
      <c r="A254" s="18">
        <v>44834</v>
      </c>
      <c r="B254" s="18">
        <v>44834</v>
      </c>
      <c r="C254" s="11" t="s">
        <v>253</v>
      </c>
      <c r="D254" s="11" t="s">
        <v>145</v>
      </c>
      <c r="E254" s="13" t="s">
        <v>146</v>
      </c>
      <c r="F254" s="13" t="s">
        <v>233</v>
      </c>
      <c r="G254" s="19"/>
      <c r="H254" s="19">
        <v>1225000</v>
      </c>
      <c r="I254" s="19">
        <v>-1225000</v>
      </c>
      <c r="J254" s="20">
        <v>14</v>
      </c>
    </row>
    <row r="255" spans="1:10" x14ac:dyDescent="0.25">
      <c r="A255" s="18">
        <v>44834</v>
      </c>
      <c r="B255" s="18">
        <v>44834</v>
      </c>
      <c r="C255" s="11" t="s">
        <v>253</v>
      </c>
      <c r="D255" s="11" t="s">
        <v>209</v>
      </c>
      <c r="E255" s="13" t="s">
        <v>210</v>
      </c>
      <c r="F255" s="13" t="s">
        <v>234</v>
      </c>
      <c r="G255" s="19">
        <v>62500</v>
      </c>
      <c r="H255" s="19"/>
      <c r="I255" s="19">
        <v>62500</v>
      </c>
      <c r="J255" s="20">
        <v>14</v>
      </c>
    </row>
    <row r="256" spans="1:10" x14ac:dyDescent="0.25">
      <c r="A256" s="18">
        <v>44834</v>
      </c>
      <c r="B256" s="18">
        <v>44834</v>
      </c>
      <c r="C256" s="11" t="s">
        <v>253</v>
      </c>
      <c r="D256" s="11" t="s">
        <v>205</v>
      </c>
      <c r="E256" s="13" t="s">
        <v>206</v>
      </c>
      <c r="F256" s="13" t="s">
        <v>234</v>
      </c>
      <c r="G256" s="19">
        <v>45000</v>
      </c>
      <c r="H256" s="19"/>
      <c r="I256" s="19">
        <v>45000</v>
      </c>
      <c r="J256" s="20">
        <v>14</v>
      </c>
    </row>
    <row r="257" spans="1:10" x14ac:dyDescent="0.25">
      <c r="A257" s="18">
        <v>44834</v>
      </c>
      <c r="B257" s="18">
        <v>44834</v>
      </c>
      <c r="C257" s="11" t="s">
        <v>253</v>
      </c>
      <c r="D257" s="11" t="s">
        <v>207</v>
      </c>
      <c r="E257" s="13" t="s">
        <v>208</v>
      </c>
      <c r="F257" s="13" t="s">
        <v>234</v>
      </c>
      <c r="G257" s="19">
        <v>18000</v>
      </c>
      <c r="H257" s="19"/>
      <c r="I257" s="19">
        <v>18000</v>
      </c>
      <c r="J257" s="20">
        <v>14</v>
      </c>
    </row>
    <row r="258" spans="1:10" x14ac:dyDescent="0.25">
      <c r="A258" s="18">
        <v>44834</v>
      </c>
      <c r="B258" s="18">
        <v>44834</v>
      </c>
      <c r="C258" s="11" t="s">
        <v>253</v>
      </c>
      <c r="D258" s="11" t="s">
        <v>211</v>
      </c>
      <c r="E258" s="13" t="s">
        <v>212</v>
      </c>
      <c r="F258" s="13" t="s">
        <v>234</v>
      </c>
      <c r="G258" s="19">
        <v>7500</v>
      </c>
      <c r="H258" s="19"/>
      <c r="I258" s="19">
        <v>7500</v>
      </c>
      <c r="J258" s="20">
        <v>14</v>
      </c>
    </row>
    <row r="259" spans="1:10" x14ac:dyDescent="0.25">
      <c r="A259" s="18">
        <v>44834</v>
      </c>
      <c r="B259" s="18">
        <v>44834</v>
      </c>
      <c r="C259" s="11" t="s">
        <v>253</v>
      </c>
      <c r="D259" s="11" t="s">
        <v>215</v>
      </c>
      <c r="E259" s="13" t="s">
        <v>216</v>
      </c>
      <c r="F259" s="13" t="s">
        <v>234</v>
      </c>
      <c r="G259" s="19">
        <v>9000</v>
      </c>
      <c r="H259" s="19"/>
      <c r="I259" s="19">
        <v>9000</v>
      </c>
      <c r="J259" s="20">
        <v>14</v>
      </c>
    </row>
    <row r="260" spans="1:10" x14ac:dyDescent="0.25">
      <c r="A260" s="18">
        <v>44834</v>
      </c>
      <c r="B260" s="18">
        <v>44834</v>
      </c>
      <c r="C260" s="11" t="s">
        <v>253</v>
      </c>
      <c r="D260" s="11" t="s">
        <v>166</v>
      </c>
      <c r="E260" s="13" t="s">
        <v>167</v>
      </c>
      <c r="F260" s="13" t="s">
        <v>234</v>
      </c>
      <c r="G260" s="19"/>
      <c r="H260" s="19">
        <v>142000</v>
      </c>
      <c r="I260" s="19">
        <v>-142000</v>
      </c>
      <c r="J260" s="20">
        <v>14</v>
      </c>
    </row>
    <row r="261" spans="1:10" x14ac:dyDescent="0.25">
      <c r="A261" s="18">
        <v>44834</v>
      </c>
      <c r="B261" s="18">
        <v>44834</v>
      </c>
      <c r="C261" s="11" t="s">
        <v>253</v>
      </c>
      <c r="D261" s="11" t="s">
        <v>166</v>
      </c>
      <c r="E261" s="13" t="s">
        <v>167</v>
      </c>
      <c r="F261" s="13" t="s">
        <v>234</v>
      </c>
      <c r="G261" s="19">
        <v>142000</v>
      </c>
      <c r="H261" s="19"/>
      <c r="I261" s="19">
        <v>142000</v>
      </c>
      <c r="J261" s="20">
        <v>14</v>
      </c>
    </row>
    <row r="262" spans="1:10" x14ac:dyDescent="0.25">
      <c r="A262" s="18">
        <v>44834</v>
      </c>
      <c r="B262" s="18">
        <v>44834</v>
      </c>
      <c r="C262" s="11" t="s">
        <v>253</v>
      </c>
      <c r="D262" s="11" t="s">
        <v>145</v>
      </c>
      <c r="E262" s="13" t="s">
        <v>146</v>
      </c>
      <c r="F262" s="13" t="s">
        <v>234</v>
      </c>
      <c r="G262" s="19"/>
      <c r="H262" s="19">
        <v>142000</v>
      </c>
      <c r="I262" s="19">
        <v>-142000</v>
      </c>
      <c r="J262" s="20">
        <v>14</v>
      </c>
    </row>
    <row r="263" spans="1:10" x14ac:dyDescent="0.25">
      <c r="A263" s="18">
        <v>44834</v>
      </c>
      <c r="B263" s="18">
        <v>44834</v>
      </c>
      <c r="C263" s="11" t="s">
        <v>253</v>
      </c>
      <c r="D263" s="11" t="s">
        <v>151</v>
      </c>
      <c r="E263" s="13" t="s">
        <v>152</v>
      </c>
      <c r="F263" s="13" t="s">
        <v>252</v>
      </c>
      <c r="G263" s="19">
        <v>432600</v>
      </c>
      <c r="H263" s="19"/>
      <c r="I263" s="19">
        <v>432600</v>
      </c>
      <c r="J263" s="20">
        <v>14</v>
      </c>
    </row>
    <row r="264" spans="1:10" x14ac:dyDescent="0.25">
      <c r="A264" s="18">
        <v>44834</v>
      </c>
      <c r="B264" s="18">
        <v>44834</v>
      </c>
      <c r="C264" s="11" t="s">
        <v>253</v>
      </c>
      <c r="D264" s="11" t="s">
        <v>188</v>
      </c>
      <c r="E264" s="13" t="s">
        <v>189</v>
      </c>
      <c r="F264" s="13" t="s">
        <v>236</v>
      </c>
      <c r="G264" s="19"/>
      <c r="H264" s="19">
        <v>432600</v>
      </c>
      <c r="I264" s="19">
        <v>-432600</v>
      </c>
      <c r="J264" s="20">
        <v>14</v>
      </c>
    </row>
    <row r="265" spans="1:10" x14ac:dyDescent="0.25">
      <c r="A265" s="18">
        <v>44926</v>
      </c>
      <c r="B265" s="18">
        <v>44926</v>
      </c>
      <c r="C265" s="11" t="s">
        <v>254</v>
      </c>
      <c r="D265" s="11" t="s">
        <v>145</v>
      </c>
      <c r="E265" s="13" t="s">
        <v>146</v>
      </c>
      <c r="F265" s="13" t="s">
        <v>231</v>
      </c>
      <c r="G265" s="19">
        <v>1400000</v>
      </c>
      <c r="H265" s="19"/>
      <c r="I265" s="19">
        <v>1400000</v>
      </c>
      <c r="J265" s="20">
        <v>15</v>
      </c>
    </row>
    <row r="266" spans="1:10" x14ac:dyDescent="0.25">
      <c r="A266" s="18">
        <v>44926</v>
      </c>
      <c r="B266" s="18">
        <v>44926</v>
      </c>
      <c r="C266" s="11" t="s">
        <v>254</v>
      </c>
      <c r="D266" s="11" t="s">
        <v>176</v>
      </c>
      <c r="E266" s="13" t="s">
        <v>177</v>
      </c>
      <c r="F266" s="13" t="s">
        <v>231</v>
      </c>
      <c r="G266" s="19"/>
      <c r="H266" s="19">
        <v>1400000</v>
      </c>
      <c r="I266" s="19">
        <v>-1400000</v>
      </c>
      <c r="J266" s="20">
        <v>15</v>
      </c>
    </row>
    <row r="267" spans="1:10" x14ac:dyDescent="0.25">
      <c r="A267" s="18">
        <v>44926</v>
      </c>
      <c r="B267" s="18">
        <v>44926</v>
      </c>
      <c r="C267" s="11" t="s">
        <v>254</v>
      </c>
      <c r="D267" s="11" t="s">
        <v>196</v>
      </c>
      <c r="E267" s="13" t="s">
        <v>197</v>
      </c>
      <c r="F267" s="13" t="s">
        <v>233</v>
      </c>
      <c r="G267" s="19">
        <v>1225000</v>
      </c>
      <c r="H267" s="19"/>
      <c r="I267" s="19">
        <v>1225000</v>
      </c>
      <c r="J267" s="20">
        <v>15</v>
      </c>
    </row>
    <row r="268" spans="1:10" x14ac:dyDescent="0.25">
      <c r="A268" s="18">
        <v>44926</v>
      </c>
      <c r="B268" s="18">
        <v>44926</v>
      </c>
      <c r="C268" s="11" t="s">
        <v>254</v>
      </c>
      <c r="D268" s="11" t="s">
        <v>170</v>
      </c>
      <c r="E268" s="13" t="s">
        <v>171</v>
      </c>
      <c r="F268" s="13" t="s">
        <v>233</v>
      </c>
      <c r="G268" s="19"/>
      <c r="H268" s="19">
        <v>1225000</v>
      </c>
      <c r="I268" s="19">
        <v>-1225000</v>
      </c>
      <c r="J268" s="20">
        <v>15</v>
      </c>
    </row>
    <row r="269" spans="1:10" x14ac:dyDescent="0.25">
      <c r="A269" s="18">
        <v>44926</v>
      </c>
      <c r="B269" s="18">
        <v>44926</v>
      </c>
      <c r="C269" s="11" t="s">
        <v>254</v>
      </c>
      <c r="D269" s="11" t="s">
        <v>170</v>
      </c>
      <c r="E269" s="13" t="s">
        <v>171</v>
      </c>
      <c r="F269" s="13" t="s">
        <v>233</v>
      </c>
      <c r="G269" s="19">
        <v>1225000</v>
      </c>
      <c r="H269" s="19"/>
      <c r="I269" s="19">
        <v>1225000</v>
      </c>
      <c r="J269" s="20">
        <v>15</v>
      </c>
    </row>
    <row r="270" spans="1:10" x14ac:dyDescent="0.25">
      <c r="A270" s="18">
        <v>44926</v>
      </c>
      <c r="B270" s="18">
        <v>44926</v>
      </c>
      <c r="C270" s="11" t="s">
        <v>254</v>
      </c>
      <c r="D270" s="11" t="s">
        <v>145</v>
      </c>
      <c r="E270" s="13" t="s">
        <v>146</v>
      </c>
      <c r="F270" s="13" t="s">
        <v>233</v>
      </c>
      <c r="G270" s="19"/>
      <c r="H270" s="19">
        <v>1225000</v>
      </c>
      <c r="I270" s="19">
        <v>-1225000</v>
      </c>
      <c r="J270" s="20">
        <v>15</v>
      </c>
    </row>
    <row r="271" spans="1:10" x14ac:dyDescent="0.25">
      <c r="A271" s="18">
        <v>44926</v>
      </c>
      <c r="B271" s="18">
        <v>44926</v>
      </c>
      <c r="C271" s="11" t="s">
        <v>254</v>
      </c>
      <c r="D271" s="11" t="s">
        <v>170</v>
      </c>
      <c r="E271" s="13" t="s">
        <v>171</v>
      </c>
      <c r="F271" s="13" t="s">
        <v>233</v>
      </c>
      <c r="G271" s="19">
        <v>400000</v>
      </c>
      <c r="H271" s="19"/>
      <c r="I271" s="19">
        <v>400000</v>
      </c>
      <c r="J271" s="20">
        <v>15</v>
      </c>
    </row>
    <row r="272" spans="1:10" x14ac:dyDescent="0.25">
      <c r="A272" s="18">
        <v>44926</v>
      </c>
      <c r="B272" s="18">
        <v>44926</v>
      </c>
      <c r="C272" s="11" t="s">
        <v>254</v>
      </c>
      <c r="D272" s="11" t="s">
        <v>199</v>
      </c>
      <c r="E272" s="13" t="s">
        <v>111</v>
      </c>
      <c r="F272" s="13" t="s">
        <v>233</v>
      </c>
      <c r="G272" s="19"/>
      <c r="H272" s="19">
        <v>400000</v>
      </c>
      <c r="I272" s="19">
        <v>-400000</v>
      </c>
      <c r="J272" s="20">
        <v>15</v>
      </c>
    </row>
    <row r="273" spans="1:10" x14ac:dyDescent="0.25">
      <c r="A273" s="18">
        <v>44926</v>
      </c>
      <c r="B273" s="18">
        <v>44926</v>
      </c>
      <c r="C273" s="11" t="s">
        <v>254</v>
      </c>
      <c r="D273" s="11" t="s">
        <v>145</v>
      </c>
      <c r="E273" s="13" t="s">
        <v>146</v>
      </c>
      <c r="F273" s="13" t="s">
        <v>233</v>
      </c>
      <c r="G273" s="19">
        <v>400000</v>
      </c>
      <c r="H273" s="19"/>
      <c r="I273" s="19">
        <v>400000</v>
      </c>
      <c r="J273" s="20">
        <v>15</v>
      </c>
    </row>
    <row r="274" spans="1:10" x14ac:dyDescent="0.25">
      <c r="A274" s="18">
        <v>44926</v>
      </c>
      <c r="B274" s="18">
        <v>44926</v>
      </c>
      <c r="C274" s="11" t="s">
        <v>254</v>
      </c>
      <c r="D274" s="11" t="s">
        <v>170</v>
      </c>
      <c r="E274" s="13" t="s">
        <v>171</v>
      </c>
      <c r="F274" s="13" t="s">
        <v>233</v>
      </c>
      <c r="G274" s="19"/>
      <c r="H274" s="19">
        <v>400000</v>
      </c>
      <c r="I274" s="19">
        <v>-400000</v>
      </c>
      <c r="J274" s="20">
        <v>15</v>
      </c>
    </row>
    <row r="275" spans="1:10" x14ac:dyDescent="0.25">
      <c r="A275" s="18">
        <v>44926</v>
      </c>
      <c r="B275" s="18">
        <v>44926</v>
      </c>
      <c r="C275" s="11" t="s">
        <v>254</v>
      </c>
      <c r="D275" s="11" t="s">
        <v>209</v>
      </c>
      <c r="E275" s="13" t="s">
        <v>210</v>
      </c>
      <c r="F275" s="13" t="s">
        <v>234</v>
      </c>
      <c r="G275" s="19">
        <v>62500</v>
      </c>
      <c r="H275" s="19"/>
      <c r="I275" s="19">
        <v>62500</v>
      </c>
      <c r="J275" s="20">
        <v>15</v>
      </c>
    </row>
    <row r="276" spans="1:10" x14ac:dyDescent="0.25">
      <c r="A276" s="18">
        <v>44926</v>
      </c>
      <c r="B276" s="18">
        <v>44926</v>
      </c>
      <c r="C276" s="11" t="s">
        <v>254</v>
      </c>
      <c r="D276" s="11" t="s">
        <v>205</v>
      </c>
      <c r="E276" s="13" t="s">
        <v>206</v>
      </c>
      <c r="F276" s="13" t="s">
        <v>234</v>
      </c>
      <c r="G276" s="19">
        <v>45000</v>
      </c>
      <c r="H276" s="19"/>
      <c r="I276" s="19">
        <v>45000</v>
      </c>
      <c r="J276" s="20">
        <v>15</v>
      </c>
    </row>
    <row r="277" spans="1:10" x14ac:dyDescent="0.25">
      <c r="A277" s="18">
        <v>44926</v>
      </c>
      <c r="B277" s="18">
        <v>44926</v>
      </c>
      <c r="C277" s="11" t="s">
        <v>254</v>
      </c>
      <c r="D277" s="11" t="s">
        <v>207</v>
      </c>
      <c r="E277" s="13" t="s">
        <v>208</v>
      </c>
      <c r="F277" s="13" t="s">
        <v>234</v>
      </c>
      <c r="G277" s="19">
        <v>18000</v>
      </c>
      <c r="H277" s="19"/>
      <c r="I277" s="19">
        <v>18000</v>
      </c>
      <c r="J277" s="20">
        <v>15</v>
      </c>
    </row>
    <row r="278" spans="1:10" x14ac:dyDescent="0.25">
      <c r="A278" s="18">
        <v>44926</v>
      </c>
      <c r="B278" s="18">
        <v>44926</v>
      </c>
      <c r="C278" s="11" t="s">
        <v>254</v>
      </c>
      <c r="D278" s="11" t="s">
        <v>211</v>
      </c>
      <c r="E278" s="13" t="s">
        <v>212</v>
      </c>
      <c r="F278" s="13" t="s">
        <v>234</v>
      </c>
      <c r="G278" s="19">
        <v>7500</v>
      </c>
      <c r="H278" s="19"/>
      <c r="I278" s="19">
        <v>7500</v>
      </c>
      <c r="J278" s="20">
        <v>15</v>
      </c>
    </row>
    <row r="279" spans="1:10" x14ac:dyDescent="0.25">
      <c r="A279" s="18">
        <v>44926</v>
      </c>
      <c r="B279" s="18">
        <v>44926</v>
      </c>
      <c r="C279" s="11" t="s">
        <v>254</v>
      </c>
      <c r="D279" s="11" t="s">
        <v>215</v>
      </c>
      <c r="E279" s="13" t="s">
        <v>216</v>
      </c>
      <c r="F279" s="13" t="s">
        <v>234</v>
      </c>
      <c r="G279" s="19">
        <v>9000</v>
      </c>
      <c r="H279" s="19"/>
      <c r="I279" s="19">
        <v>9000</v>
      </c>
      <c r="J279" s="20">
        <v>15</v>
      </c>
    </row>
    <row r="280" spans="1:10" x14ac:dyDescent="0.25">
      <c r="A280" s="18">
        <v>44926</v>
      </c>
      <c r="B280" s="18">
        <v>44926</v>
      </c>
      <c r="C280" s="11" t="s">
        <v>254</v>
      </c>
      <c r="D280" s="11" t="s">
        <v>166</v>
      </c>
      <c r="E280" s="13" t="s">
        <v>167</v>
      </c>
      <c r="F280" s="13" t="s">
        <v>234</v>
      </c>
      <c r="G280" s="19"/>
      <c r="H280" s="19">
        <v>142000</v>
      </c>
      <c r="I280" s="19">
        <v>-142000</v>
      </c>
      <c r="J280" s="20">
        <v>15</v>
      </c>
    </row>
    <row r="281" spans="1:10" x14ac:dyDescent="0.25">
      <c r="A281" s="18">
        <v>44926</v>
      </c>
      <c r="B281" s="18">
        <v>44926</v>
      </c>
      <c r="C281" s="11" t="s">
        <v>254</v>
      </c>
      <c r="D281" s="11" t="s">
        <v>166</v>
      </c>
      <c r="E281" s="13" t="s">
        <v>167</v>
      </c>
      <c r="F281" s="13" t="s">
        <v>234</v>
      </c>
      <c r="G281" s="19">
        <v>142000</v>
      </c>
      <c r="H281" s="19"/>
      <c r="I281" s="19">
        <v>142000</v>
      </c>
      <c r="J281" s="20">
        <v>15</v>
      </c>
    </row>
    <row r="282" spans="1:10" x14ac:dyDescent="0.25">
      <c r="A282" s="18">
        <v>44926</v>
      </c>
      <c r="B282" s="18">
        <v>44926</v>
      </c>
      <c r="C282" s="11" t="s">
        <v>254</v>
      </c>
      <c r="D282" s="11" t="s">
        <v>145</v>
      </c>
      <c r="E282" s="13" t="s">
        <v>146</v>
      </c>
      <c r="F282" s="13" t="s">
        <v>234</v>
      </c>
      <c r="G282" s="19"/>
      <c r="H282" s="19">
        <v>142000</v>
      </c>
      <c r="I282" s="19">
        <v>-142000</v>
      </c>
      <c r="J282" s="20">
        <v>15</v>
      </c>
    </row>
    <row r="283" spans="1:10" x14ac:dyDescent="0.25">
      <c r="A283" s="18">
        <v>44926</v>
      </c>
      <c r="B283" s="18">
        <v>44926</v>
      </c>
      <c r="C283" s="11" t="s">
        <v>254</v>
      </c>
      <c r="D283" s="11" t="s">
        <v>151</v>
      </c>
      <c r="E283" s="13" t="s">
        <v>152</v>
      </c>
      <c r="F283" s="13" t="s">
        <v>252</v>
      </c>
      <c r="G283" s="19">
        <v>445578</v>
      </c>
      <c r="H283" s="19"/>
      <c r="I283" s="19">
        <v>445578</v>
      </c>
      <c r="J283" s="20">
        <v>15</v>
      </c>
    </row>
    <row r="284" spans="1:10" x14ac:dyDescent="0.25">
      <c r="A284" s="18">
        <v>44926</v>
      </c>
      <c r="B284" s="18">
        <v>44926</v>
      </c>
      <c r="C284" s="11" t="s">
        <v>254</v>
      </c>
      <c r="D284" s="11" t="s">
        <v>188</v>
      </c>
      <c r="E284" s="13" t="s">
        <v>189</v>
      </c>
      <c r="F284" s="13" t="s">
        <v>236</v>
      </c>
      <c r="G284" s="19"/>
      <c r="H284" s="19">
        <v>445578</v>
      </c>
      <c r="I284" s="19">
        <v>-445578</v>
      </c>
      <c r="J284" s="20">
        <v>15</v>
      </c>
    </row>
    <row r="285" spans="1:10" x14ac:dyDescent="0.25">
      <c r="A285" s="18">
        <v>45016</v>
      </c>
      <c r="B285" s="18">
        <v>45016</v>
      </c>
      <c r="C285" s="11" t="s">
        <v>255</v>
      </c>
      <c r="D285" s="11" t="s">
        <v>145</v>
      </c>
      <c r="E285" s="13" t="s">
        <v>146</v>
      </c>
      <c r="F285" s="13" t="s">
        <v>231</v>
      </c>
      <c r="G285" s="19">
        <v>500000</v>
      </c>
      <c r="H285" s="19"/>
      <c r="I285" s="19">
        <v>500000</v>
      </c>
      <c r="J285" s="20">
        <v>16</v>
      </c>
    </row>
    <row r="286" spans="1:10" x14ac:dyDescent="0.25">
      <c r="A286" s="18">
        <v>45016</v>
      </c>
      <c r="B286" s="18">
        <v>45016</v>
      </c>
      <c r="C286" s="11" t="s">
        <v>255</v>
      </c>
      <c r="D286" s="11" t="s">
        <v>176</v>
      </c>
      <c r="E286" s="13" t="s">
        <v>177</v>
      </c>
      <c r="F286" s="13" t="s">
        <v>231</v>
      </c>
      <c r="G286" s="19"/>
      <c r="H286" s="19">
        <v>500000</v>
      </c>
      <c r="I286" s="19">
        <v>-500000</v>
      </c>
      <c r="J286" s="20">
        <v>16</v>
      </c>
    </row>
    <row r="287" spans="1:10" x14ac:dyDescent="0.25">
      <c r="A287" s="18">
        <v>45016</v>
      </c>
      <c r="B287" s="18">
        <v>45016</v>
      </c>
      <c r="C287" s="11" t="s">
        <v>255</v>
      </c>
      <c r="D287" s="11" t="s">
        <v>196</v>
      </c>
      <c r="E287" s="13" t="s">
        <v>197</v>
      </c>
      <c r="F287" s="13" t="s">
        <v>233</v>
      </c>
      <c r="G287" s="19">
        <v>1225000</v>
      </c>
      <c r="H287" s="19"/>
      <c r="I287" s="19">
        <v>1225000</v>
      </c>
      <c r="J287" s="20">
        <v>16</v>
      </c>
    </row>
    <row r="288" spans="1:10" x14ac:dyDescent="0.25">
      <c r="A288" s="18">
        <v>45016</v>
      </c>
      <c r="B288" s="18">
        <v>45016</v>
      </c>
      <c r="C288" s="11" t="s">
        <v>255</v>
      </c>
      <c r="D288" s="11" t="s">
        <v>170</v>
      </c>
      <c r="E288" s="13" t="s">
        <v>171</v>
      </c>
      <c r="F288" s="13" t="s">
        <v>233</v>
      </c>
      <c r="G288" s="19"/>
      <c r="H288" s="19">
        <v>1225000</v>
      </c>
      <c r="I288" s="19">
        <v>-1225000</v>
      </c>
      <c r="J288" s="20">
        <v>16</v>
      </c>
    </row>
    <row r="289" spans="1:10" x14ac:dyDescent="0.25">
      <c r="A289" s="18">
        <v>45016</v>
      </c>
      <c r="B289" s="18">
        <v>45016</v>
      </c>
      <c r="C289" s="11" t="s">
        <v>255</v>
      </c>
      <c r="D289" s="11" t="s">
        <v>170</v>
      </c>
      <c r="E289" s="13" t="s">
        <v>171</v>
      </c>
      <c r="F289" s="13" t="s">
        <v>233</v>
      </c>
      <c r="G289" s="19">
        <v>1225000</v>
      </c>
      <c r="H289" s="19"/>
      <c r="I289" s="19">
        <v>1225000</v>
      </c>
      <c r="J289" s="20">
        <v>16</v>
      </c>
    </row>
    <row r="290" spans="1:10" x14ac:dyDescent="0.25">
      <c r="A290" s="18">
        <v>45016</v>
      </c>
      <c r="B290" s="18">
        <v>45016</v>
      </c>
      <c r="C290" s="11" t="s">
        <v>255</v>
      </c>
      <c r="D290" s="11" t="s">
        <v>145</v>
      </c>
      <c r="E290" s="13" t="s">
        <v>146</v>
      </c>
      <c r="F290" s="13" t="s">
        <v>233</v>
      </c>
      <c r="G290" s="19"/>
      <c r="H290" s="19">
        <v>1225000</v>
      </c>
      <c r="I290" s="19">
        <v>-1225000</v>
      </c>
      <c r="J290" s="20">
        <v>16</v>
      </c>
    </row>
    <row r="291" spans="1:10" x14ac:dyDescent="0.25">
      <c r="A291" s="18">
        <v>45016</v>
      </c>
      <c r="B291" s="18">
        <v>45016</v>
      </c>
      <c r="C291" s="11" t="s">
        <v>255</v>
      </c>
      <c r="D291" s="11" t="s">
        <v>209</v>
      </c>
      <c r="E291" s="13" t="s">
        <v>210</v>
      </c>
      <c r="F291" s="13" t="s">
        <v>234</v>
      </c>
      <c r="G291" s="19">
        <v>62500</v>
      </c>
      <c r="H291" s="19"/>
      <c r="I291" s="19">
        <v>62500</v>
      </c>
      <c r="J291" s="20">
        <v>16</v>
      </c>
    </row>
    <row r="292" spans="1:10" x14ac:dyDescent="0.25">
      <c r="A292" s="18">
        <v>45016</v>
      </c>
      <c r="B292" s="18">
        <v>45016</v>
      </c>
      <c r="C292" s="11" t="s">
        <v>255</v>
      </c>
      <c r="D292" s="11" t="s">
        <v>205</v>
      </c>
      <c r="E292" s="13" t="s">
        <v>206</v>
      </c>
      <c r="F292" s="13" t="s">
        <v>234</v>
      </c>
      <c r="G292" s="19">
        <v>45000</v>
      </c>
      <c r="H292" s="19"/>
      <c r="I292" s="19">
        <v>45000</v>
      </c>
      <c r="J292" s="20">
        <v>16</v>
      </c>
    </row>
    <row r="293" spans="1:10" x14ac:dyDescent="0.25">
      <c r="A293" s="18">
        <v>45016</v>
      </c>
      <c r="B293" s="18">
        <v>45016</v>
      </c>
      <c r="C293" s="11" t="s">
        <v>255</v>
      </c>
      <c r="D293" s="11" t="s">
        <v>207</v>
      </c>
      <c r="E293" s="13" t="s">
        <v>208</v>
      </c>
      <c r="F293" s="13" t="s">
        <v>234</v>
      </c>
      <c r="G293" s="19">
        <v>18000</v>
      </c>
      <c r="H293" s="19"/>
      <c r="I293" s="19">
        <v>18000</v>
      </c>
      <c r="J293" s="20">
        <v>16</v>
      </c>
    </row>
    <row r="294" spans="1:10" x14ac:dyDescent="0.25">
      <c r="A294" s="18">
        <v>45016</v>
      </c>
      <c r="B294" s="18">
        <v>45016</v>
      </c>
      <c r="C294" s="11" t="s">
        <v>255</v>
      </c>
      <c r="D294" s="11" t="s">
        <v>211</v>
      </c>
      <c r="E294" s="13" t="s">
        <v>212</v>
      </c>
      <c r="F294" s="13" t="s">
        <v>234</v>
      </c>
      <c r="G294" s="19">
        <v>7500</v>
      </c>
      <c r="H294" s="19"/>
      <c r="I294" s="19">
        <v>7500</v>
      </c>
      <c r="J294" s="20">
        <v>16</v>
      </c>
    </row>
    <row r="295" spans="1:10" x14ac:dyDescent="0.25">
      <c r="A295" s="18">
        <v>45016</v>
      </c>
      <c r="B295" s="18">
        <v>45016</v>
      </c>
      <c r="C295" s="11" t="s">
        <v>255</v>
      </c>
      <c r="D295" s="11" t="s">
        <v>215</v>
      </c>
      <c r="E295" s="13" t="s">
        <v>216</v>
      </c>
      <c r="F295" s="13" t="s">
        <v>234</v>
      </c>
      <c r="G295" s="19">
        <v>9000</v>
      </c>
      <c r="H295" s="19"/>
      <c r="I295" s="19">
        <v>9000</v>
      </c>
      <c r="J295" s="20">
        <v>16</v>
      </c>
    </row>
    <row r="296" spans="1:10" x14ac:dyDescent="0.25">
      <c r="A296" s="18">
        <v>45016</v>
      </c>
      <c r="B296" s="18">
        <v>45016</v>
      </c>
      <c r="C296" s="11" t="s">
        <v>255</v>
      </c>
      <c r="D296" s="11" t="s">
        <v>166</v>
      </c>
      <c r="E296" s="13" t="s">
        <v>167</v>
      </c>
      <c r="F296" s="13" t="s">
        <v>234</v>
      </c>
      <c r="G296" s="19"/>
      <c r="H296" s="19">
        <v>142000</v>
      </c>
      <c r="I296" s="19">
        <v>-142000</v>
      </c>
      <c r="J296" s="20">
        <v>16</v>
      </c>
    </row>
    <row r="297" spans="1:10" x14ac:dyDescent="0.25">
      <c r="A297" s="18">
        <v>45016</v>
      </c>
      <c r="B297" s="18">
        <v>45016</v>
      </c>
      <c r="C297" s="11" t="s">
        <v>255</v>
      </c>
      <c r="D297" s="11" t="s">
        <v>166</v>
      </c>
      <c r="E297" s="13" t="s">
        <v>167</v>
      </c>
      <c r="F297" s="13" t="s">
        <v>234</v>
      </c>
      <c r="G297" s="19">
        <v>142000</v>
      </c>
      <c r="H297" s="19"/>
      <c r="I297" s="19">
        <v>142000</v>
      </c>
      <c r="J297" s="20">
        <v>16</v>
      </c>
    </row>
    <row r="298" spans="1:10" x14ac:dyDescent="0.25">
      <c r="A298" s="18">
        <v>45016</v>
      </c>
      <c r="B298" s="18">
        <v>45016</v>
      </c>
      <c r="C298" s="11" t="s">
        <v>255</v>
      </c>
      <c r="D298" s="11" t="s">
        <v>145</v>
      </c>
      <c r="E298" s="13" t="s">
        <v>146</v>
      </c>
      <c r="F298" s="13" t="s">
        <v>234</v>
      </c>
      <c r="G298" s="19"/>
      <c r="H298" s="19">
        <v>142000</v>
      </c>
      <c r="I298" s="19">
        <v>-142000</v>
      </c>
      <c r="J298" s="20">
        <v>16</v>
      </c>
    </row>
    <row r="299" spans="1:10" x14ac:dyDescent="0.25">
      <c r="A299" s="18">
        <v>45016</v>
      </c>
      <c r="B299" s="18">
        <v>45016</v>
      </c>
      <c r="C299" s="11" t="s">
        <v>255</v>
      </c>
      <c r="D299" s="11" t="s">
        <v>151</v>
      </c>
      <c r="E299" s="13" t="s">
        <v>152</v>
      </c>
      <c r="F299" s="13" t="s">
        <v>252</v>
      </c>
      <c r="G299" s="19">
        <v>458945.34</v>
      </c>
      <c r="H299" s="19"/>
      <c r="I299" s="19">
        <v>458945.34</v>
      </c>
      <c r="J299" s="20">
        <v>16</v>
      </c>
    </row>
    <row r="300" spans="1:10" x14ac:dyDescent="0.25">
      <c r="A300" s="18">
        <v>45016</v>
      </c>
      <c r="B300" s="18">
        <v>45016</v>
      </c>
      <c r="C300" s="11" t="s">
        <v>255</v>
      </c>
      <c r="D300" s="11" t="s">
        <v>188</v>
      </c>
      <c r="E300" s="13" t="s">
        <v>189</v>
      </c>
      <c r="F300" s="13" t="s">
        <v>236</v>
      </c>
      <c r="G300" s="19"/>
      <c r="H300" s="19">
        <v>458945.34</v>
      </c>
      <c r="I300" s="19">
        <v>-458945.34</v>
      </c>
      <c r="J300" s="20">
        <v>16</v>
      </c>
    </row>
    <row r="301" spans="1:10" x14ac:dyDescent="0.25">
      <c r="A301" s="18">
        <v>45107</v>
      </c>
      <c r="B301" s="18">
        <v>45107</v>
      </c>
      <c r="C301" s="11" t="s">
        <v>256</v>
      </c>
      <c r="D301" s="11" t="s">
        <v>145</v>
      </c>
      <c r="E301" s="13" t="s">
        <v>146</v>
      </c>
      <c r="F301" s="13" t="s">
        <v>231</v>
      </c>
      <c r="G301" s="19">
        <v>6400000</v>
      </c>
      <c r="H301" s="19"/>
      <c r="I301" s="19">
        <v>6400000</v>
      </c>
      <c r="J301" s="20">
        <v>17</v>
      </c>
    </row>
    <row r="302" spans="1:10" x14ac:dyDescent="0.25">
      <c r="A302" s="18">
        <v>45107</v>
      </c>
      <c r="B302" s="18">
        <v>45107</v>
      </c>
      <c r="C302" s="11" t="s">
        <v>256</v>
      </c>
      <c r="D302" s="11" t="s">
        <v>176</v>
      </c>
      <c r="E302" s="13" t="s">
        <v>177</v>
      </c>
      <c r="F302" s="13" t="s">
        <v>231</v>
      </c>
      <c r="G302" s="19"/>
      <c r="H302" s="19">
        <v>6400000</v>
      </c>
      <c r="I302" s="19">
        <v>-6400000</v>
      </c>
      <c r="J302" s="20">
        <v>17</v>
      </c>
    </row>
    <row r="303" spans="1:10" x14ac:dyDescent="0.25">
      <c r="A303" s="18">
        <v>45107</v>
      </c>
      <c r="B303" s="18">
        <v>45107</v>
      </c>
      <c r="C303" s="11" t="s">
        <v>256</v>
      </c>
      <c r="D303" s="11" t="s">
        <v>196</v>
      </c>
      <c r="E303" s="13" t="s">
        <v>197</v>
      </c>
      <c r="F303" s="13" t="s">
        <v>233</v>
      </c>
      <c r="G303" s="19">
        <v>1225000</v>
      </c>
      <c r="H303" s="19"/>
      <c r="I303" s="19">
        <v>1225000</v>
      </c>
      <c r="J303" s="20">
        <v>17</v>
      </c>
    </row>
    <row r="304" spans="1:10" x14ac:dyDescent="0.25">
      <c r="A304" s="18">
        <v>45107</v>
      </c>
      <c r="B304" s="18">
        <v>45107</v>
      </c>
      <c r="C304" s="11" t="s">
        <v>256</v>
      </c>
      <c r="D304" s="11" t="s">
        <v>170</v>
      </c>
      <c r="E304" s="13" t="s">
        <v>171</v>
      </c>
      <c r="F304" s="13" t="s">
        <v>233</v>
      </c>
      <c r="G304" s="19"/>
      <c r="H304" s="19">
        <v>1225000</v>
      </c>
      <c r="I304" s="19">
        <v>-1225000</v>
      </c>
      <c r="J304" s="20">
        <v>17</v>
      </c>
    </row>
    <row r="305" spans="1:10" x14ac:dyDescent="0.25">
      <c r="A305" s="18">
        <v>45107</v>
      </c>
      <c r="B305" s="18">
        <v>45107</v>
      </c>
      <c r="C305" s="11" t="s">
        <v>256</v>
      </c>
      <c r="D305" s="11" t="s">
        <v>170</v>
      </c>
      <c r="E305" s="13" t="s">
        <v>171</v>
      </c>
      <c r="F305" s="13" t="s">
        <v>233</v>
      </c>
      <c r="G305" s="19">
        <v>1225000</v>
      </c>
      <c r="H305" s="19"/>
      <c r="I305" s="19">
        <v>1225000</v>
      </c>
      <c r="J305" s="20">
        <v>17</v>
      </c>
    </row>
    <row r="306" spans="1:10" x14ac:dyDescent="0.25">
      <c r="A306" s="18">
        <v>45107</v>
      </c>
      <c r="B306" s="18">
        <v>45107</v>
      </c>
      <c r="C306" s="11" t="s">
        <v>256</v>
      </c>
      <c r="D306" s="11" t="s">
        <v>145</v>
      </c>
      <c r="E306" s="13" t="s">
        <v>146</v>
      </c>
      <c r="F306" s="13" t="s">
        <v>233</v>
      </c>
      <c r="G306" s="19"/>
      <c r="H306" s="19">
        <v>1225000</v>
      </c>
      <c r="I306" s="19">
        <v>-1225000</v>
      </c>
      <c r="J306" s="20">
        <v>17</v>
      </c>
    </row>
    <row r="307" spans="1:10" x14ac:dyDescent="0.25">
      <c r="A307" s="18">
        <v>45107</v>
      </c>
      <c r="B307" s="18">
        <v>45107</v>
      </c>
      <c r="C307" s="11" t="s">
        <v>256</v>
      </c>
      <c r="D307" s="11" t="s">
        <v>209</v>
      </c>
      <c r="E307" s="13" t="s">
        <v>210</v>
      </c>
      <c r="F307" s="13" t="s">
        <v>234</v>
      </c>
      <c r="G307" s="19">
        <v>62500</v>
      </c>
      <c r="H307" s="19"/>
      <c r="I307" s="19">
        <v>62500</v>
      </c>
      <c r="J307" s="20">
        <v>17</v>
      </c>
    </row>
    <row r="308" spans="1:10" x14ac:dyDescent="0.25">
      <c r="A308" s="18">
        <v>45107</v>
      </c>
      <c r="B308" s="18">
        <v>45107</v>
      </c>
      <c r="C308" s="11" t="s">
        <v>256</v>
      </c>
      <c r="D308" s="11" t="s">
        <v>205</v>
      </c>
      <c r="E308" s="13" t="s">
        <v>206</v>
      </c>
      <c r="F308" s="13" t="s">
        <v>234</v>
      </c>
      <c r="G308" s="19">
        <v>45000</v>
      </c>
      <c r="H308" s="19"/>
      <c r="I308" s="19">
        <v>45000</v>
      </c>
      <c r="J308" s="20">
        <v>17</v>
      </c>
    </row>
    <row r="309" spans="1:10" x14ac:dyDescent="0.25">
      <c r="A309" s="18">
        <v>45107</v>
      </c>
      <c r="B309" s="18">
        <v>45107</v>
      </c>
      <c r="C309" s="11" t="s">
        <v>256</v>
      </c>
      <c r="D309" s="11" t="s">
        <v>207</v>
      </c>
      <c r="E309" s="13" t="s">
        <v>208</v>
      </c>
      <c r="F309" s="13" t="s">
        <v>234</v>
      </c>
      <c r="G309" s="19">
        <v>18000</v>
      </c>
      <c r="H309" s="19"/>
      <c r="I309" s="19">
        <v>18000</v>
      </c>
      <c r="J309" s="20">
        <v>17</v>
      </c>
    </row>
    <row r="310" spans="1:10" x14ac:dyDescent="0.25">
      <c r="A310" s="18">
        <v>45107</v>
      </c>
      <c r="B310" s="18">
        <v>45107</v>
      </c>
      <c r="C310" s="11" t="s">
        <v>256</v>
      </c>
      <c r="D310" s="11" t="s">
        <v>211</v>
      </c>
      <c r="E310" s="13" t="s">
        <v>212</v>
      </c>
      <c r="F310" s="13" t="s">
        <v>234</v>
      </c>
      <c r="G310" s="19">
        <v>7500</v>
      </c>
      <c r="H310" s="19"/>
      <c r="I310" s="19">
        <v>7500</v>
      </c>
      <c r="J310" s="20">
        <v>17</v>
      </c>
    </row>
    <row r="311" spans="1:10" x14ac:dyDescent="0.25">
      <c r="A311" s="18">
        <v>45107</v>
      </c>
      <c r="B311" s="18">
        <v>45107</v>
      </c>
      <c r="C311" s="11" t="s">
        <v>256</v>
      </c>
      <c r="D311" s="11" t="s">
        <v>215</v>
      </c>
      <c r="E311" s="13" t="s">
        <v>216</v>
      </c>
      <c r="F311" s="13" t="s">
        <v>234</v>
      </c>
      <c r="G311" s="19">
        <v>9000</v>
      </c>
      <c r="H311" s="19"/>
      <c r="I311" s="19">
        <v>9000</v>
      </c>
      <c r="J311" s="20">
        <v>17</v>
      </c>
    </row>
    <row r="312" spans="1:10" x14ac:dyDescent="0.25">
      <c r="A312" s="18">
        <v>45107</v>
      </c>
      <c r="B312" s="18">
        <v>45107</v>
      </c>
      <c r="C312" s="11" t="s">
        <v>256</v>
      </c>
      <c r="D312" s="11" t="s">
        <v>166</v>
      </c>
      <c r="E312" s="13" t="s">
        <v>167</v>
      </c>
      <c r="F312" s="13" t="s">
        <v>234</v>
      </c>
      <c r="G312" s="19"/>
      <c r="H312" s="19">
        <v>142000</v>
      </c>
      <c r="I312" s="19">
        <v>-142000</v>
      </c>
      <c r="J312" s="20">
        <v>17</v>
      </c>
    </row>
    <row r="313" spans="1:10" x14ac:dyDescent="0.25">
      <c r="A313" s="18">
        <v>45107</v>
      </c>
      <c r="B313" s="18">
        <v>45107</v>
      </c>
      <c r="C313" s="11" t="s">
        <v>256</v>
      </c>
      <c r="D313" s="11" t="s">
        <v>166</v>
      </c>
      <c r="E313" s="13" t="s">
        <v>167</v>
      </c>
      <c r="F313" s="13" t="s">
        <v>234</v>
      </c>
      <c r="G313" s="19">
        <v>142000</v>
      </c>
      <c r="H313" s="19"/>
      <c r="I313" s="19">
        <v>142000</v>
      </c>
      <c r="J313" s="20">
        <v>17</v>
      </c>
    </row>
    <row r="314" spans="1:10" x14ac:dyDescent="0.25">
      <c r="A314" s="18">
        <v>45107</v>
      </c>
      <c r="B314" s="18">
        <v>45107</v>
      </c>
      <c r="C314" s="11" t="s">
        <v>256</v>
      </c>
      <c r="D314" s="11" t="s">
        <v>145</v>
      </c>
      <c r="E314" s="13" t="s">
        <v>146</v>
      </c>
      <c r="F314" s="13" t="s">
        <v>234</v>
      </c>
      <c r="G314" s="19"/>
      <c r="H314" s="19">
        <v>142000</v>
      </c>
      <c r="I314" s="19">
        <v>-142000</v>
      </c>
      <c r="J314" s="20">
        <v>17</v>
      </c>
    </row>
    <row r="315" spans="1:10" x14ac:dyDescent="0.25">
      <c r="A315" s="18">
        <v>45107</v>
      </c>
      <c r="B315" s="18">
        <v>45107</v>
      </c>
      <c r="C315" s="11" t="s">
        <v>256</v>
      </c>
      <c r="D315" s="11" t="s">
        <v>151</v>
      </c>
      <c r="E315" s="13" t="s">
        <v>152</v>
      </c>
      <c r="F315" s="13" t="s">
        <v>236</v>
      </c>
      <c r="G315" s="19">
        <v>5000000</v>
      </c>
      <c r="H315" s="19"/>
      <c r="I315" s="19">
        <v>5000000</v>
      </c>
      <c r="J315" s="20">
        <v>17</v>
      </c>
    </row>
    <row r="316" spans="1:10" x14ac:dyDescent="0.25">
      <c r="A316" s="18">
        <v>45107</v>
      </c>
      <c r="B316" s="18">
        <v>45107</v>
      </c>
      <c r="C316" s="11" t="s">
        <v>256</v>
      </c>
      <c r="D316" s="11" t="s">
        <v>145</v>
      </c>
      <c r="E316" s="13" t="s">
        <v>146</v>
      </c>
      <c r="F316" s="13" t="s">
        <v>236</v>
      </c>
      <c r="G316" s="19"/>
      <c r="H316" s="19">
        <v>5000000</v>
      </c>
      <c r="I316" s="19">
        <v>-5000000</v>
      </c>
      <c r="J316" s="20">
        <v>17</v>
      </c>
    </row>
    <row r="317" spans="1:10" x14ac:dyDescent="0.25">
      <c r="A317" s="18">
        <v>45107</v>
      </c>
      <c r="B317" s="18">
        <v>45107</v>
      </c>
      <c r="C317" s="11" t="s">
        <v>256</v>
      </c>
      <c r="D317" s="11" t="s">
        <v>151</v>
      </c>
      <c r="E317" s="13" t="s">
        <v>152</v>
      </c>
      <c r="F317" s="13" t="s">
        <v>252</v>
      </c>
      <c r="G317" s="19">
        <v>472713.7</v>
      </c>
      <c r="H317" s="19"/>
      <c r="I317" s="19">
        <v>472713.7</v>
      </c>
      <c r="J317" s="20">
        <v>17</v>
      </c>
    </row>
    <row r="318" spans="1:10" x14ac:dyDescent="0.25">
      <c r="A318" s="18">
        <v>45107</v>
      </c>
      <c r="B318" s="18">
        <v>45107</v>
      </c>
      <c r="C318" s="11" t="s">
        <v>256</v>
      </c>
      <c r="D318" s="11" t="s">
        <v>188</v>
      </c>
      <c r="E318" s="13" t="s">
        <v>189</v>
      </c>
      <c r="F318" s="13" t="s">
        <v>236</v>
      </c>
      <c r="G318" s="19"/>
      <c r="H318" s="19">
        <v>472713.7</v>
      </c>
      <c r="I318" s="19">
        <v>-472713.7</v>
      </c>
      <c r="J318" s="20">
        <v>17</v>
      </c>
    </row>
    <row r="319" spans="1:10" x14ac:dyDescent="0.25">
      <c r="A319" s="18">
        <v>45107</v>
      </c>
      <c r="B319" s="18">
        <v>45107</v>
      </c>
      <c r="C319" s="11" t="s">
        <v>256</v>
      </c>
      <c r="D319" s="11" t="s">
        <v>219</v>
      </c>
      <c r="E319" s="13" t="s">
        <v>220</v>
      </c>
      <c r="F319" s="13" t="s">
        <v>240</v>
      </c>
      <c r="G319" s="19">
        <v>2500000</v>
      </c>
      <c r="H319" s="19"/>
      <c r="I319" s="19">
        <v>2500000</v>
      </c>
      <c r="J319" s="20">
        <v>17</v>
      </c>
    </row>
    <row r="320" spans="1:10" x14ac:dyDescent="0.25">
      <c r="A320" s="18">
        <v>45107</v>
      </c>
      <c r="B320" s="18">
        <v>45107</v>
      </c>
      <c r="C320" s="11" t="s">
        <v>256</v>
      </c>
      <c r="D320" s="11" t="s">
        <v>153</v>
      </c>
      <c r="E320" s="13" t="s">
        <v>154</v>
      </c>
      <c r="F320" s="13" t="s">
        <v>240</v>
      </c>
      <c r="G320" s="19"/>
      <c r="H320" s="19">
        <v>2500000</v>
      </c>
      <c r="I320" s="19">
        <v>-2500000</v>
      </c>
      <c r="J320" s="20">
        <v>17</v>
      </c>
    </row>
    <row r="321" spans="1:10" x14ac:dyDescent="0.25">
      <c r="A321" s="18">
        <v>45199</v>
      </c>
      <c r="B321" s="18">
        <v>45199</v>
      </c>
      <c r="C321" s="11" t="s">
        <v>257</v>
      </c>
      <c r="D321" s="11" t="s">
        <v>145</v>
      </c>
      <c r="E321" s="13" t="s">
        <v>146</v>
      </c>
      <c r="F321" s="13" t="s">
        <v>231</v>
      </c>
      <c r="G321" s="19">
        <v>5400000</v>
      </c>
      <c r="H321" s="19"/>
      <c r="I321" s="19">
        <v>5400000</v>
      </c>
      <c r="J321" s="20">
        <v>18</v>
      </c>
    </row>
    <row r="322" spans="1:10" x14ac:dyDescent="0.25">
      <c r="A322" s="18">
        <v>45199</v>
      </c>
      <c r="B322" s="18">
        <v>45199</v>
      </c>
      <c r="C322" s="11" t="s">
        <v>257</v>
      </c>
      <c r="D322" s="11" t="s">
        <v>176</v>
      </c>
      <c r="E322" s="13" t="s">
        <v>177</v>
      </c>
      <c r="F322" s="13" t="s">
        <v>231</v>
      </c>
      <c r="G322" s="19"/>
      <c r="H322" s="19">
        <v>5400000</v>
      </c>
      <c r="I322" s="19">
        <v>-5400000</v>
      </c>
      <c r="J322" s="20">
        <v>18</v>
      </c>
    </row>
    <row r="323" spans="1:10" x14ac:dyDescent="0.25">
      <c r="A323" s="18">
        <v>45199</v>
      </c>
      <c r="B323" s="18">
        <v>45199</v>
      </c>
      <c r="C323" s="11" t="s">
        <v>257</v>
      </c>
      <c r="D323" s="11" t="s">
        <v>196</v>
      </c>
      <c r="E323" s="13" t="s">
        <v>197</v>
      </c>
      <c r="F323" s="13" t="s">
        <v>233</v>
      </c>
      <c r="G323" s="19">
        <v>1225000</v>
      </c>
      <c r="H323" s="19"/>
      <c r="I323" s="19">
        <v>1225000</v>
      </c>
      <c r="J323" s="20">
        <v>18</v>
      </c>
    </row>
    <row r="324" spans="1:10" x14ac:dyDescent="0.25">
      <c r="A324" s="18">
        <v>45199</v>
      </c>
      <c r="B324" s="18">
        <v>45199</v>
      </c>
      <c r="C324" s="11" t="s">
        <v>257</v>
      </c>
      <c r="D324" s="11" t="s">
        <v>170</v>
      </c>
      <c r="E324" s="13" t="s">
        <v>171</v>
      </c>
      <c r="F324" s="13" t="s">
        <v>233</v>
      </c>
      <c r="G324" s="19"/>
      <c r="H324" s="19">
        <v>1225000</v>
      </c>
      <c r="I324" s="19">
        <v>-1225000</v>
      </c>
      <c r="J324" s="20">
        <v>18</v>
      </c>
    </row>
    <row r="325" spans="1:10" x14ac:dyDescent="0.25">
      <c r="A325" s="18">
        <v>45199</v>
      </c>
      <c r="B325" s="18">
        <v>45199</v>
      </c>
      <c r="C325" s="11" t="s">
        <v>257</v>
      </c>
      <c r="D325" s="11" t="s">
        <v>170</v>
      </c>
      <c r="E325" s="13" t="s">
        <v>171</v>
      </c>
      <c r="F325" s="13" t="s">
        <v>233</v>
      </c>
      <c r="G325" s="19">
        <v>1225000</v>
      </c>
      <c r="H325" s="19"/>
      <c r="I325" s="19">
        <v>1225000</v>
      </c>
      <c r="J325" s="20">
        <v>18</v>
      </c>
    </row>
    <row r="326" spans="1:10" x14ac:dyDescent="0.25">
      <c r="A326" s="18">
        <v>45199</v>
      </c>
      <c r="B326" s="18">
        <v>45199</v>
      </c>
      <c r="C326" s="11" t="s">
        <v>257</v>
      </c>
      <c r="D326" s="11" t="s">
        <v>145</v>
      </c>
      <c r="E326" s="13" t="s">
        <v>146</v>
      </c>
      <c r="F326" s="13" t="s">
        <v>233</v>
      </c>
      <c r="G326" s="19"/>
      <c r="H326" s="19">
        <v>1225000</v>
      </c>
      <c r="I326" s="19">
        <v>-1225000</v>
      </c>
      <c r="J326" s="20">
        <v>18</v>
      </c>
    </row>
    <row r="327" spans="1:10" x14ac:dyDescent="0.25">
      <c r="A327" s="18">
        <v>45199</v>
      </c>
      <c r="B327" s="18">
        <v>45199</v>
      </c>
      <c r="C327" s="11" t="s">
        <v>257</v>
      </c>
      <c r="D327" s="11" t="s">
        <v>209</v>
      </c>
      <c r="E327" s="13" t="s">
        <v>210</v>
      </c>
      <c r="F327" s="13" t="s">
        <v>234</v>
      </c>
      <c r="G327" s="19">
        <v>62500</v>
      </c>
      <c r="H327" s="19"/>
      <c r="I327" s="19">
        <v>62500</v>
      </c>
      <c r="J327" s="20">
        <v>18</v>
      </c>
    </row>
    <row r="328" spans="1:10" x14ac:dyDescent="0.25">
      <c r="A328" s="18">
        <v>45199</v>
      </c>
      <c r="B328" s="18">
        <v>45199</v>
      </c>
      <c r="C328" s="11" t="s">
        <v>257</v>
      </c>
      <c r="D328" s="11" t="s">
        <v>205</v>
      </c>
      <c r="E328" s="13" t="s">
        <v>206</v>
      </c>
      <c r="F328" s="13" t="s">
        <v>234</v>
      </c>
      <c r="G328" s="19">
        <v>45000</v>
      </c>
      <c r="H328" s="19"/>
      <c r="I328" s="19">
        <v>45000</v>
      </c>
      <c r="J328" s="20">
        <v>18</v>
      </c>
    </row>
    <row r="329" spans="1:10" x14ac:dyDescent="0.25">
      <c r="A329" s="18">
        <v>45199</v>
      </c>
      <c r="B329" s="18">
        <v>45199</v>
      </c>
      <c r="C329" s="11" t="s">
        <v>257</v>
      </c>
      <c r="D329" s="11" t="s">
        <v>207</v>
      </c>
      <c r="E329" s="13" t="s">
        <v>208</v>
      </c>
      <c r="F329" s="13" t="s">
        <v>234</v>
      </c>
      <c r="G329" s="19">
        <v>18000</v>
      </c>
      <c r="H329" s="19"/>
      <c r="I329" s="19">
        <v>18000</v>
      </c>
      <c r="J329" s="20">
        <v>18</v>
      </c>
    </row>
    <row r="330" spans="1:10" x14ac:dyDescent="0.25">
      <c r="A330" s="18">
        <v>45199</v>
      </c>
      <c r="B330" s="18">
        <v>45199</v>
      </c>
      <c r="C330" s="11" t="s">
        <v>257</v>
      </c>
      <c r="D330" s="11" t="s">
        <v>211</v>
      </c>
      <c r="E330" s="13" t="s">
        <v>212</v>
      </c>
      <c r="F330" s="13" t="s">
        <v>234</v>
      </c>
      <c r="G330" s="19">
        <v>7500</v>
      </c>
      <c r="H330" s="19"/>
      <c r="I330" s="19">
        <v>7500</v>
      </c>
      <c r="J330" s="20">
        <v>18</v>
      </c>
    </row>
    <row r="331" spans="1:10" x14ac:dyDescent="0.25">
      <c r="A331" s="18">
        <v>45199</v>
      </c>
      <c r="B331" s="18">
        <v>45199</v>
      </c>
      <c r="C331" s="11" t="s">
        <v>257</v>
      </c>
      <c r="D331" s="11" t="s">
        <v>215</v>
      </c>
      <c r="E331" s="13" t="s">
        <v>216</v>
      </c>
      <c r="F331" s="13" t="s">
        <v>234</v>
      </c>
      <c r="G331" s="19">
        <v>9000</v>
      </c>
      <c r="H331" s="19"/>
      <c r="I331" s="19">
        <v>9000</v>
      </c>
      <c r="J331" s="20">
        <v>18</v>
      </c>
    </row>
    <row r="332" spans="1:10" x14ac:dyDescent="0.25">
      <c r="A332" s="18">
        <v>45199</v>
      </c>
      <c r="B332" s="18">
        <v>45199</v>
      </c>
      <c r="C332" s="11" t="s">
        <v>257</v>
      </c>
      <c r="D332" s="11" t="s">
        <v>166</v>
      </c>
      <c r="E332" s="13" t="s">
        <v>167</v>
      </c>
      <c r="F332" s="13" t="s">
        <v>234</v>
      </c>
      <c r="G332" s="19"/>
      <c r="H332" s="19">
        <v>142000</v>
      </c>
      <c r="I332" s="19">
        <v>-142000</v>
      </c>
      <c r="J332" s="20">
        <v>18</v>
      </c>
    </row>
    <row r="333" spans="1:10" x14ac:dyDescent="0.25">
      <c r="A333" s="18">
        <v>45199</v>
      </c>
      <c r="B333" s="18">
        <v>45199</v>
      </c>
      <c r="C333" s="11" t="s">
        <v>257</v>
      </c>
      <c r="D333" s="11" t="s">
        <v>166</v>
      </c>
      <c r="E333" s="13" t="s">
        <v>167</v>
      </c>
      <c r="F333" s="13" t="s">
        <v>234</v>
      </c>
      <c r="G333" s="19">
        <v>142000</v>
      </c>
      <c r="H333" s="19"/>
      <c r="I333" s="19">
        <v>142000</v>
      </c>
      <c r="J333" s="20">
        <v>18</v>
      </c>
    </row>
    <row r="334" spans="1:10" x14ac:dyDescent="0.25">
      <c r="A334" s="18">
        <v>45199</v>
      </c>
      <c r="B334" s="18">
        <v>45199</v>
      </c>
      <c r="C334" s="11" t="s">
        <v>257</v>
      </c>
      <c r="D334" s="11" t="s">
        <v>145</v>
      </c>
      <c r="E334" s="13" t="s">
        <v>146</v>
      </c>
      <c r="F334" s="13" t="s">
        <v>234</v>
      </c>
      <c r="G334" s="19"/>
      <c r="H334" s="19">
        <v>142000</v>
      </c>
      <c r="I334" s="19">
        <v>-142000</v>
      </c>
      <c r="J334" s="20">
        <v>18</v>
      </c>
    </row>
    <row r="335" spans="1:10" x14ac:dyDescent="0.25">
      <c r="A335" s="18">
        <v>45199</v>
      </c>
      <c r="B335" s="18">
        <v>45199</v>
      </c>
      <c r="C335" s="11" t="s">
        <v>257</v>
      </c>
      <c r="D335" s="11" t="s">
        <v>151</v>
      </c>
      <c r="E335" s="13" t="s">
        <v>152</v>
      </c>
      <c r="F335" s="13" t="s">
        <v>236</v>
      </c>
      <c r="G335" s="19">
        <v>4000000</v>
      </c>
      <c r="H335" s="19"/>
      <c r="I335" s="19">
        <v>4000000</v>
      </c>
      <c r="J335" s="20">
        <v>18</v>
      </c>
    </row>
    <row r="336" spans="1:10" x14ac:dyDescent="0.25">
      <c r="A336" s="18">
        <v>45199</v>
      </c>
      <c r="B336" s="18">
        <v>45199</v>
      </c>
      <c r="C336" s="11" t="s">
        <v>257</v>
      </c>
      <c r="D336" s="11" t="s">
        <v>145</v>
      </c>
      <c r="E336" s="13" t="s">
        <v>146</v>
      </c>
      <c r="F336" s="13" t="s">
        <v>236</v>
      </c>
      <c r="G336" s="19"/>
      <c r="H336" s="19">
        <v>4000000</v>
      </c>
      <c r="I336" s="19">
        <v>-4000000</v>
      </c>
      <c r="J336" s="20">
        <v>18</v>
      </c>
    </row>
    <row r="337" spans="1:10" x14ac:dyDescent="0.25">
      <c r="A337" s="18">
        <v>45199</v>
      </c>
      <c r="B337" s="18">
        <v>45199</v>
      </c>
      <c r="C337" s="11" t="s">
        <v>257</v>
      </c>
      <c r="D337" s="11" t="s">
        <v>151</v>
      </c>
      <c r="E337" s="13" t="s">
        <v>152</v>
      </c>
      <c r="F337" s="13" t="s">
        <v>252</v>
      </c>
      <c r="G337" s="19">
        <v>486895.11</v>
      </c>
      <c r="H337" s="19"/>
      <c r="I337" s="19">
        <v>486895.11</v>
      </c>
      <c r="J337" s="20">
        <v>18</v>
      </c>
    </row>
    <row r="338" spans="1:10" x14ac:dyDescent="0.25">
      <c r="A338" s="18">
        <v>45199</v>
      </c>
      <c r="B338" s="18">
        <v>45199</v>
      </c>
      <c r="C338" s="11" t="s">
        <v>257</v>
      </c>
      <c r="D338" s="11" t="s">
        <v>188</v>
      </c>
      <c r="E338" s="13" t="s">
        <v>189</v>
      </c>
      <c r="F338" s="13" t="s">
        <v>236</v>
      </c>
      <c r="G338" s="19"/>
      <c r="H338" s="19">
        <v>486895.11</v>
      </c>
      <c r="I338" s="19">
        <v>-486895.11</v>
      </c>
      <c r="J338" s="20">
        <v>18</v>
      </c>
    </row>
    <row r="339" spans="1:10" x14ac:dyDescent="0.25">
      <c r="A339" s="18">
        <v>45291</v>
      </c>
      <c r="B339" s="18">
        <v>45291</v>
      </c>
      <c r="C339" s="11" t="s">
        <v>258</v>
      </c>
      <c r="D339" s="11" t="s">
        <v>145</v>
      </c>
      <c r="E339" s="13" t="s">
        <v>146</v>
      </c>
      <c r="F339" s="13" t="s">
        <v>231</v>
      </c>
      <c r="G339" s="19">
        <v>1300000</v>
      </c>
      <c r="H339" s="19"/>
      <c r="I339" s="19">
        <v>1300000</v>
      </c>
      <c r="J339" s="20">
        <v>19</v>
      </c>
    </row>
    <row r="340" spans="1:10" x14ac:dyDescent="0.25">
      <c r="A340" s="18">
        <v>45291</v>
      </c>
      <c r="B340" s="18">
        <v>45291</v>
      </c>
      <c r="C340" s="11" t="s">
        <v>258</v>
      </c>
      <c r="D340" s="11" t="s">
        <v>176</v>
      </c>
      <c r="E340" s="13" t="s">
        <v>177</v>
      </c>
      <c r="F340" s="13" t="s">
        <v>231</v>
      </c>
      <c r="G340" s="19"/>
      <c r="H340" s="19">
        <v>1300000</v>
      </c>
      <c r="I340" s="19">
        <v>-1300000</v>
      </c>
      <c r="J340" s="20">
        <v>19</v>
      </c>
    </row>
    <row r="341" spans="1:10" x14ac:dyDescent="0.25">
      <c r="A341" s="18">
        <v>45291</v>
      </c>
      <c r="B341" s="18">
        <v>45291</v>
      </c>
      <c r="C341" s="11" t="s">
        <v>258</v>
      </c>
      <c r="D341" s="11" t="s">
        <v>196</v>
      </c>
      <c r="E341" s="13" t="s">
        <v>197</v>
      </c>
      <c r="F341" s="13" t="s">
        <v>233</v>
      </c>
      <c r="G341" s="19">
        <v>1225000</v>
      </c>
      <c r="H341" s="19"/>
      <c r="I341" s="19">
        <v>1225000</v>
      </c>
      <c r="J341" s="20">
        <v>19</v>
      </c>
    </row>
    <row r="342" spans="1:10" x14ac:dyDescent="0.25">
      <c r="A342" s="18">
        <v>45291</v>
      </c>
      <c r="B342" s="18">
        <v>45291</v>
      </c>
      <c r="C342" s="11" t="s">
        <v>258</v>
      </c>
      <c r="D342" s="11" t="s">
        <v>170</v>
      </c>
      <c r="E342" s="13" t="s">
        <v>171</v>
      </c>
      <c r="F342" s="13" t="s">
        <v>233</v>
      </c>
      <c r="G342" s="19"/>
      <c r="H342" s="19">
        <v>1225000</v>
      </c>
      <c r="I342" s="19">
        <v>-1225000</v>
      </c>
      <c r="J342" s="20">
        <v>19</v>
      </c>
    </row>
    <row r="343" spans="1:10" x14ac:dyDescent="0.25">
      <c r="A343" s="18">
        <v>45291</v>
      </c>
      <c r="B343" s="18">
        <v>45291</v>
      </c>
      <c r="C343" s="11" t="s">
        <v>258</v>
      </c>
      <c r="D343" s="11" t="s">
        <v>170</v>
      </c>
      <c r="E343" s="13" t="s">
        <v>171</v>
      </c>
      <c r="F343" s="13" t="s">
        <v>233</v>
      </c>
      <c r="G343" s="19">
        <v>1225000</v>
      </c>
      <c r="H343" s="19"/>
      <c r="I343" s="19">
        <v>1225000</v>
      </c>
      <c r="J343" s="20">
        <v>19</v>
      </c>
    </row>
    <row r="344" spans="1:10" x14ac:dyDescent="0.25">
      <c r="A344" s="18">
        <v>45291</v>
      </c>
      <c r="B344" s="18">
        <v>45291</v>
      </c>
      <c r="C344" s="11" t="s">
        <v>258</v>
      </c>
      <c r="D344" s="11" t="s">
        <v>145</v>
      </c>
      <c r="E344" s="13" t="s">
        <v>146</v>
      </c>
      <c r="F344" s="13" t="s">
        <v>233</v>
      </c>
      <c r="G344" s="19"/>
      <c r="H344" s="19">
        <v>1225000</v>
      </c>
      <c r="I344" s="19">
        <v>-1225000</v>
      </c>
      <c r="J344" s="20">
        <v>19</v>
      </c>
    </row>
    <row r="345" spans="1:10" x14ac:dyDescent="0.25">
      <c r="A345" s="18">
        <v>45291</v>
      </c>
      <c r="B345" s="18">
        <v>45291</v>
      </c>
      <c r="C345" s="11" t="s">
        <v>258</v>
      </c>
      <c r="D345" s="11" t="s">
        <v>170</v>
      </c>
      <c r="E345" s="13" t="s">
        <v>171</v>
      </c>
      <c r="F345" s="13" t="s">
        <v>233</v>
      </c>
      <c r="G345" s="19">
        <v>400000</v>
      </c>
      <c r="H345" s="19"/>
      <c r="I345" s="19">
        <v>400000</v>
      </c>
      <c r="J345" s="20">
        <v>19</v>
      </c>
    </row>
    <row r="346" spans="1:10" x14ac:dyDescent="0.25">
      <c r="A346" s="18">
        <v>45291</v>
      </c>
      <c r="B346" s="18">
        <v>45291</v>
      </c>
      <c r="C346" s="11" t="s">
        <v>258</v>
      </c>
      <c r="D346" s="11" t="s">
        <v>199</v>
      </c>
      <c r="E346" s="13" t="s">
        <v>111</v>
      </c>
      <c r="F346" s="13" t="s">
        <v>233</v>
      </c>
      <c r="G346" s="19"/>
      <c r="H346" s="19">
        <v>400000</v>
      </c>
      <c r="I346" s="19">
        <v>-400000</v>
      </c>
      <c r="J346" s="20">
        <v>19</v>
      </c>
    </row>
    <row r="347" spans="1:10" x14ac:dyDescent="0.25">
      <c r="A347" s="18">
        <v>45291</v>
      </c>
      <c r="B347" s="18">
        <v>45291</v>
      </c>
      <c r="C347" s="11" t="s">
        <v>258</v>
      </c>
      <c r="D347" s="11" t="s">
        <v>145</v>
      </c>
      <c r="E347" s="13" t="s">
        <v>146</v>
      </c>
      <c r="F347" s="13" t="s">
        <v>233</v>
      </c>
      <c r="G347" s="19">
        <v>400000</v>
      </c>
      <c r="H347" s="19"/>
      <c r="I347" s="19">
        <v>400000</v>
      </c>
      <c r="J347" s="20">
        <v>19</v>
      </c>
    </row>
    <row r="348" spans="1:10" x14ac:dyDescent="0.25">
      <c r="A348" s="18">
        <v>45291</v>
      </c>
      <c r="B348" s="18">
        <v>45291</v>
      </c>
      <c r="C348" s="11" t="s">
        <v>258</v>
      </c>
      <c r="D348" s="11" t="s">
        <v>170</v>
      </c>
      <c r="E348" s="13" t="s">
        <v>171</v>
      </c>
      <c r="F348" s="13" t="s">
        <v>233</v>
      </c>
      <c r="G348" s="19"/>
      <c r="H348" s="19">
        <v>400000</v>
      </c>
      <c r="I348" s="19">
        <v>-400000</v>
      </c>
      <c r="J348" s="20">
        <v>19</v>
      </c>
    </row>
    <row r="349" spans="1:10" x14ac:dyDescent="0.25">
      <c r="A349" s="18">
        <v>45291</v>
      </c>
      <c r="B349" s="18">
        <v>45291</v>
      </c>
      <c r="C349" s="11" t="s">
        <v>258</v>
      </c>
      <c r="D349" s="11" t="s">
        <v>209</v>
      </c>
      <c r="E349" s="13" t="s">
        <v>210</v>
      </c>
      <c r="F349" s="13" t="s">
        <v>234</v>
      </c>
      <c r="G349" s="19">
        <v>62500</v>
      </c>
      <c r="H349" s="19"/>
      <c r="I349" s="19">
        <v>62500</v>
      </c>
      <c r="J349" s="20">
        <v>19</v>
      </c>
    </row>
    <row r="350" spans="1:10" x14ac:dyDescent="0.25">
      <c r="A350" s="18">
        <v>45291</v>
      </c>
      <c r="B350" s="18">
        <v>45291</v>
      </c>
      <c r="C350" s="11" t="s">
        <v>258</v>
      </c>
      <c r="D350" s="11" t="s">
        <v>205</v>
      </c>
      <c r="E350" s="13" t="s">
        <v>206</v>
      </c>
      <c r="F350" s="13" t="s">
        <v>234</v>
      </c>
      <c r="G350" s="19">
        <v>45000</v>
      </c>
      <c r="H350" s="19"/>
      <c r="I350" s="19">
        <v>45000</v>
      </c>
      <c r="J350" s="20">
        <v>19</v>
      </c>
    </row>
    <row r="351" spans="1:10" x14ac:dyDescent="0.25">
      <c r="A351" s="18">
        <v>45291</v>
      </c>
      <c r="B351" s="18">
        <v>45291</v>
      </c>
      <c r="C351" s="11" t="s">
        <v>258</v>
      </c>
      <c r="D351" s="11" t="s">
        <v>207</v>
      </c>
      <c r="E351" s="13" t="s">
        <v>208</v>
      </c>
      <c r="F351" s="13" t="s">
        <v>234</v>
      </c>
      <c r="G351" s="19">
        <v>18000</v>
      </c>
      <c r="H351" s="19"/>
      <c r="I351" s="19">
        <v>18000</v>
      </c>
      <c r="J351" s="20">
        <v>19</v>
      </c>
    </row>
    <row r="352" spans="1:10" x14ac:dyDescent="0.25">
      <c r="A352" s="18">
        <v>45291</v>
      </c>
      <c r="B352" s="18">
        <v>45291</v>
      </c>
      <c r="C352" s="11" t="s">
        <v>258</v>
      </c>
      <c r="D352" s="11" t="s">
        <v>211</v>
      </c>
      <c r="E352" s="13" t="s">
        <v>212</v>
      </c>
      <c r="F352" s="13" t="s">
        <v>234</v>
      </c>
      <c r="G352" s="19">
        <v>7500</v>
      </c>
      <c r="H352" s="19"/>
      <c r="I352" s="19">
        <v>7500</v>
      </c>
      <c r="J352" s="20">
        <v>19</v>
      </c>
    </row>
    <row r="353" spans="1:10" x14ac:dyDescent="0.25">
      <c r="A353" s="18">
        <v>45291</v>
      </c>
      <c r="B353" s="18">
        <v>45291</v>
      </c>
      <c r="C353" s="11" t="s">
        <v>258</v>
      </c>
      <c r="D353" s="11" t="s">
        <v>215</v>
      </c>
      <c r="E353" s="13" t="s">
        <v>216</v>
      </c>
      <c r="F353" s="13" t="s">
        <v>234</v>
      </c>
      <c r="G353" s="19">
        <v>9000</v>
      </c>
      <c r="H353" s="19"/>
      <c r="I353" s="19">
        <v>9000</v>
      </c>
      <c r="J353" s="20">
        <v>19</v>
      </c>
    </row>
    <row r="354" spans="1:10" x14ac:dyDescent="0.25">
      <c r="A354" s="18">
        <v>45291</v>
      </c>
      <c r="B354" s="18">
        <v>45291</v>
      </c>
      <c r="C354" s="11" t="s">
        <v>258</v>
      </c>
      <c r="D354" s="11" t="s">
        <v>166</v>
      </c>
      <c r="E354" s="13" t="s">
        <v>167</v>
      </c>
      <c r="F354" s="13" t="s">
        <v>234</v>
      </c>
      <c r="G354" s="19"/>
      <c r="H354" s="19">
        <v>142000</v>
      </c>
      <c r="I354" s="19">
        <v>-142000</v>
      </c>
      <c r="J354" s="20">
        <v>19</v>
      </c>
    </row>
    <row r="355" spans="1:10" x14ac:dyDescent="0.25">
      <c r="A355" s="18">
        <v>45291</v>
      </c>
      <c r="B355" s="18">
        <v>45291</v>
      </c>
      <c r="C355" s="11" t="s">
        <v>258</v>
      </c>
      <c r="D355" s="11" t="s">
        <v>166</v>
      </c>
      <c r="E355" s="13" t="s">
        <v>167</v>
      </c>
      <c r="F355" s="13" t="s">
        <v>234</v>
      </c>
      <c r="G355" s="19">
        <v>142000</v>
      </c>
      <c r="H355" s="19"/>
      <c r="I355" s="19">
        <v>142000</v>
      </c>
      <c r="J355" s="20">
        <v>19</v>
      </c>
    </row>
    <row r="356" spans="1:10" x14ac:dyDescent="0.25">
      <c r="A356" s="18">
        <v>45291</v>
      </c>
      <c r="B356" s="18">
        <v>45291</v>
      </c>
      <c r="C356" s="11" t="s">
        <v>258</v>
      </c>
      <c r="D356" s="11" t="s">
        <v>145</v>
      </c>
      <c r="E356" s="13" t="s">
        <v>146</v>
      </c>
      <c r="F356" s="13" t="s">
        <v>234</v>
      </c>
      <c r="G356" s="19"/>
      <c r="H356" s="19">
        <v>142000</v>
      </c>
      <c r="I356" s="19">
        <v>-142000</v>
      </c>
      <c r="J356" s="20">
        <v>19</v>
      </c>
    </row>
    <row r="357" spans="1:10" x14ac:dyDescent="0.25">
      <c r="A357" s="18">
        <v>45291</v>
      </c>
      <c r="B357" s="18">
        <v>45291</v>
      </c>
      <c r="C357" s="11" t="s">
        <v>258</v>
      </c>
      <c r="D357" s="11" t="s">
        <v>151</v>
      </c>
      <c r="E357" s="13" t="s">
        <v>152</v>
      </c>
      <c r="F357" s="13" t="s">
        <v>252</v>
      </c>
      <c r="G357" s="19">
        <v>501501.96</v>
      </c>
      <c r="H357" s="19"/>
      <c r="I357" s="19">
        <v>501501.96</v>
      </c>
      <c r="J357" s="20">
        <v>19</v>
      </c>
    </row>
    <row r="358" spans="1:10" x14ac:dyDescent="0.25">
      <c r="A358" s="18">
        <v>45291</v>
      </c>
      <c r="B358" s="18">
        <v>45291</v>
      </c>
      <c r="C358" s="11" t="s">
        <v>258</v>
      </c>
      <c r="D358" s="11" t="s">
        <v>188</v>
      </c>
      <c r="E358" s="13" t="s">
        <v>189</v>
      </c>
      <c r="F358" s="13" t="s">
        <v>236</v>
      </c>
      <c r="G358" s="19"/>
      <c r="H358" s="19">
        <v>501501.96</v>
      </c>
      <c r="I358" s="19">
        <v>-501501.96</v>
      </c>
      <c r="J358" s="20">
        <v>19</v>
      </c>
    </row>
    <row r="359" spans="1:10" x14ac:dyDescent="0.25">
      <c r="A359" s="18">
        <v>45291</v>
      </c>
      <c r="B359" s="18">
        <v>45291</v>
      </c>
      <c r="C359" s="11" t="s">
        <v>258</v>
      </c>
      <c r="D359" s="11" t="s">
        <v>153</v>
      </c>
      <c r="E359" s="13" t="s">
        <v>154</v>
      </c>
      <c r="F359" s="13" t="s">
        <v>240</v>
      </c>
      <c r="G359" s="19">
        <v>33500000</v>
      </c>
      <c r="H359" s="19"/>
      <c r="I359" s="19">
        <v>33500000</v>
      </c>
      <c r="J359" s="20">
        <v>19</v>
      </c>
    </row>
    <row r="360" spans="1:10" x14ac:dyDescent="0.25">
      <c r="A360" s="18">
        <v>45291</v>
      </c>
      <c r="B360" s="18">
        <v>45291</v>
      </c>
      <c r="C360" s="11" t="s">
        <v>258</v>
      </c>
      <c r="D360" s="11" t="s">
        <v>219</v>
      </c>
      <c r="E360" s="13" t="s">
        <v>220</v>
      </c>
      <c r="F360" s="13" t="s">
        <v>240</v>
      </c>
      <c r="G360" s="19"/>
      <c r="H360" s="19">
        <v>33500000</v>
      </c>
      <c r="I360" s="19">
        <v>-33500000</v>
      </c>
      <c r="J360" s="20">
        <v>19</v>
      </c>
    </row>
    <row r="361" spans="1:10" x14ac:dyDescent="0.25">
      <c r="A361" s="18">
        <v>45382</v>
      </c>
      <c r="B361" s="18">
        <v>45382</v>
      </c>
      <c r="C361" s="11" t="s">
        <v>259</v>
      </c>
      <c r="D361" s="11" t="s">
        <v>145</v>
      </c>
      <c r="E361" s="13" t="s">
        <v>146</v>
      </c>
      <c r="F361" s="13" t="s">
        <v>231</v>
      </c>
      <c r="G361" s="19">
        <v>600000</v>
      </c>
      <c r="H361" s="19"/>
      <c r="I361" s="19">
        <v>600000</v>
      </c>
      <c r="J361" s="20">
        <v>20</v>
      </c>
    </row>
    <row r="362" spans="1:10" x14ac:dyDescent="0.25">
      <c r="A362" s="18">
        <v>45382</v>
      </c>
      <c r="B362" s="18">
        <v>45382</v>
      </c>
      <c r="C362" s="11" t="s">
        <v>259</v>
      </c>
      <c r="D362" s="11" t="s">
        <v>176</v>
      </c>
      <c r="E362" s="13" t="s">
        <v>177</v>
      </c>
      <c r="F362" s="13" t="s">
        <v>231</v>
      </c>
      <c r="G362" s="19"/>
      <c r="H362" s="19">
        <v>600000</v>
      </c>
      <c r="I362" s="19">
        <v>-600000</v>
      </c>
      <c r="J362" s="20">
        <v>20</v>
      </c>
    </row>
    <row r="363" spans="1:10" x14ac:dyDescent="0.25">
      <c r="A363" s="18">
        <v>45382</v>
      </c>
      <c r="B363" s="18">
        <v>45382</v>
      </c>
      <c r="C363" s="11" t="s">
        <v>259</v>
      </c>
      <c r="D363" s="11" t="s">
        <v>196</v>
      </c>
      <c r="E363" s="13" t="s">
        <v>197</v>
      </c>
      <c r="F363" s="13" t="s">
        <v>233</v>
      </c>
      <c r="G363" s="19">
        <v>1225000</v>
      </c>
      <c r="H363" s="19"/>
      <c r="I363" s="19">
        <v>1225000</v>
      </c>
      <c r="J363" s="20">
        <v>20</v>
      </c>
    </row>
    <row r="364" spans="1:10" x14ac:dyDescent="0.25">
      <c r="A364" s="18">
        <v>45382</v>
      </c>
      <c r="B364" s="18">
        <v>45382</v>
      </c>
      <c r="C364" s="11" t="s">
        <v>259</v>
      </c>
      <c r="D364" s="11" t="s">
        <v>170</v>
      </c>
      <c r="E364" s="13" t="s">
        <v>171</v>
      </c>
      <c r="F364" s="13" t="s">
        <v>233</v>
      </c>
      <c r="G364" s="19"/>
      <c r="H364" s="19">
        <v>1225000</v>
      </c>
      <c r="I364" s="19">
        <v>-1225000</v>
      </c>
      <c r="J364" s="20">
        <v>20</v>
      </c>
    </row>
    <row r="365" spans="1:10" x14ac:dyDescent="0.25">
      <c r="A365" s="18">
        <v>45382</v>
      </c>
      <c r="B365" s="18">
        <v>45382</v>
      </c>
      <c r="C365" s="11" t="s">
        <v>259</v>
      </c>
      <c r="D365" s="11" t="s">
        <v>170</v>
      </c>
      <c r="E365" s="13" t="s">
        <v>171</v>
      </c>
      <c r="F365" s="13" t="s">
        <v>233</v>
      </c>
      <c r="G365" s="19">
        <v>1225000</v>
      </c>
      <c r="H365" s="19"/>
      <c r="I365" s="19">
        <v>1225000</v>
      </c>
      <c r="J365" s="20">
        <v>20</v>
      </c>
    </row>
    <row r="366" spans="1:10" x14ac:dyDescent="0.25">
      <c r="A366" s="18">
        <v>45382</v>
      </c>
      <c r="B366" s="18">
        <v>45382</v>
      </c>
      <c r="C366" s="11" t="s">
        <v>259</v>
      </c>
      <c r="D366" s="11" t="s">
        <v>145</v>
      </c>
      <c r="E366" s="13" t="s">
        <v>146</v>
      </c>
      <c r="F366" s="13" t="s">
        <v>233</v>
      </c>
      <c r="G366" s="19"/>
      <c r="H366" s="19">
        <v>1225000</v>
      </c>
      <c r="I366" s="19">
        <v>-1225000</v>
      </c>
      <c r="J366" s="20">
        <v>20</v>
      </c>
    </row>
    <row r="367" spans="1:10" x14ac:dyDescent="0.25">
      <c r="A367" s="18">
        <v>45382</v>
      </c>
      <c r="B367" s="18">
        <v>45382</v>
      </c>
      <c r="C367" s="11" t="s">
        <v>259</v>
      </c>
      <c r="D367" s="11" t="s">
        <v>209</v>
      </c>
      <c r="E367" s="13" t="s">
        <v>210</v>
      </c>
      <c r="F367" s="13" t="s">
        <v>234</v>
      </c>
      <c r="G367" s="19">
        <v>62500</v>
      </c>
      <c r="H367" s="19"/>
      <c r="I367" s="19">
        <v>62500</v>
      </c>
      <c r="J367" s="20">
        <v>20</v>
      </c>
    </row>
    <row r="368" spans="1:10" x14ac:dyDescent="0.25">
      <c r="A368" s="18">
        <v>45382</v>
      </c>
      <c r="B368" s="18">
        <v>45382</v>
      </c>
      <c r="C368" s="11" t="s">
        <v>259</v>
      </c>
      <c r="D368" s="11" t="s">
        <v>205</v>
      </c>
      <c r="E368" s="13" t="s">
        <v>206</v>
      </c>
      <c r="F368" s="13" t="s">
        <v>234</v>
      </c>
      <c r="G368" s="19">
        <v>45000</v>
      </c>
      <c r="H368" s="19"/>
      <c r="I368" s="19">
        <v>45000</v>
      </c>
      <c r="J368" s="20">
        <v>20</v>
      </c>
    </row>
    <row r="369" spans="1:10" x14ac:dyDescent="0.25">
      <c r="A369" s="18">
        <v>45382</v>
      </c>
      <c r="B369" s="18">
        <v>45382</v>
      </c>
      <c r="C369" s="11" t="s">
        <v>259</v>
      </c>
      <c r="D369" s="11" t="s">
        <v>207</v>
      </c>
      <c r="E369" s="13" t="s">
        <v>208</v>
      </c>
      <c r="F369" s="13" t="s">
        <v>234</v>
      </c>
      <c r="G369" s="19">
        <v>18000</v>
      </c>
      <c r="H369" s="19"/>
      <c r="I369" s="19">
        <v>18000</v>
      </c>
      <c r="J369" s="20">
        <v>20</v>
      </c>
    </row>
    <row r="370" spans="1:10" x14ac:dyDescent="0.25">
      <c r="A370" s="18">
        <v>45382</v>
      </c>
      <c r="B370" s="18">
        <v>45382</v>
      </c>
      <c r="C370" s="11" t="s">
        <v>259</v>
      </c>
      <c r="D370" s="11" t="s">
        <v>211</v>
      </c>
      <c r="E370" s="13" t="s">
        <v>212</v>
      </c>
      <c r="F370" s="13" t="s">
        <v>234</v>
      </c>
      <c r="G370" s="19">
        <v>7500</v>
      </c>
      <c r="H370" s="19"/>
      <c r="I370" s="19">
        <v>7500</v>
      </c>
      <c r="J370" s="20">
        <v>20</v>
      </c>
    </row>
    <row r="371" spans="1:10" x14ac:dyDescent="0.25">
      <c r="A371" s="18">
        <v>45382</v>
      </c>
      <c r="B371" s="18">
        <v>45382</v>
      </c>
      <c r="C371" s="11" t="s">
        <v>259</v>
      </c>
      <c r="D371" s="11" t="s">
        <v>215</v>
      </c>
      <c r="E371" s="13" t="s">
        <v>216</v>
      </c>
      <c r="F371" s="13" t="s">
        <v>234</v>
      </c>
      <c r="G371" s="19">
        <v>9000</v>
      </c>
      <c r="H371" s="19"/>
      <c r="I371" s="19">
        <v>9000</v>
      </c>
      <c r="J371" s="20">
        <v>20</v>
      </c>
    </row>
    <row r="372" spans="1:10" x14ac:dyDescent="0.25">
      <c r="A372" s="18">
        <v>45382</v>
      </c>
      <c r="B372" s="18">
        <v>45382</v>
      </c>
      <c r="C372" s="11" t="s">
        <v>259</v>
      </c>
      <c r="D372" s="11" t="s">
        <v>166</v>
      </c>
      <c r="E372" s="13" t="s">
        <v>167</v>
      </c>
      <c r="F372" s="13" t="s">
        <v>234</v>
      </c>
      <c r="G372" s="19"/>
      <c r="H372" s="19">
        <v>142000</v>
      </c>
      <c r="I372" s="19">
        <v>-142000</v>
      </c>
      <c r="J372" s="20">
        <v>20</v>
      </c>
    </row>
    <row r="373" spans="1:10" x14ac:dyDescent="0.25">
      <c r="A373" s="18">
        <v>45382</v>
      </c>
      <c r="B373" s="18">
        <v>45382</v>
      </c>
      <c r="C373" s="11" t="s">
        <v>259</v>
      </c>
      <c r="D373" s="11" t="s">
        <v>166</v>
      </c>
      <c r="E373" s="13" t="s">
        <v>167</v>
      </c>
      <c r="F373" s="13" t="s">
        <v>234</v>
      </c>
      <c r="G373" s="19">
        <v>142000</v>
      </c>
      <c r="H373" s="19"/>
      <c r="I373" s="19">
        <v>142000</v>
      </c>
      <c r="J373" s="20">
        <v>20</v>
      </c>
    </row>
    <row r="374" spans="1:10" x14ac:dyDescent="0.25">
      <c r="A374" s="18">
        <v>45382</v>
      </c>
      <c r="B374" s="18">
        <v>45382</v>
      </c>
      <c r="C374" s="11" t="s">
        <v>259</v>
      </c>
      <c r="D374" s="11" t="s">
        <v>145</v>
      </c>
      <c r="E374" s="13" t="s">
        <v>146</v>
      </c>
      <c r="F374" s="13" t="s">
        <v>234</v>
      </c>
      <c r="G374" s="19"/>
      <c r="H374" s="19">
        <v>142000</v>
      </c>
      <c r="I374" s="19">
        <v>-142000</v>
      </c>
      <c r="J374" s="20">
        <v>20</v>
      </c>
    </row>
    <row r="375" spans="1:10" x14ac:dyDescent="0.25">
      <c r="A375" s="18">
        <v>45382</v>
      </c>
      <c r="B375" s="18">
        <v>45382</v>
      </c>
      <c r="C375" s="11" t="s">
        <v>259</v>
      </c>
      <c r="D375" s="11" t="s">
        <v>151</v>
      </c>
      <c r="E375" s="13" t="s">
        <v>152</v>
      </c>
      <c r="F375" s="13" t="s">
        <v>252</v>
      </c>
      <c r="G375" s="19">
        <v>516547.02</v>
      </c>
      <c r="H375" s="19"/>
      <c r="I375" s="19">
        <v>516547.02</v>
      </c>
      <c r="J375" s="20">
        <v>20</v>
      </c>
    </row>
    <row r="376" spans="1:10" x14ac:dyDescent="0.25">
      <c r="A376" s="18">
        <v>45382</v>
      </c>
      <c r="B376" s="18">
        <v>45382</v>
      </c>
      <c r="C376" s="11" t="s">
        <v>259</v>
      </c>
      <c r="D376" s="11" t="s">
        <v>188</v>
      </c>
      <c r="E376" s="13" t="s">
        <v>189</v>
      </c>
      <c r="F376" s="13" t="s">
        <v>236</v>
      </c>
      <c r="G376" s="19"/>
      <c r="H376" s="19">
        <v>516547.02</v>
      </c>
      <c r="I376" s="19">
        <v>-516547.02</v>
      </c>
      <c r="J376" s="20">
        <v>20</v>
      </c>
    </row>
    <row r="377" spans="1:10" x14ac:dyDescent="0.25">
      <c r="A377" s="18">
        <v>45382</v>
      </c>
      <c r="B377" s="18">
        <v>45382</v>
      </c>
      <c r="C377" s="11" t="s">
        <v>259</v>
      </c>
      <c r="D377" s="11" t="s">
        <v>153</v>
      </c>
      <c r="E377" s="13" t="s">
        <v>154</v>
      </c>
      <c r="F377" s="13" t="s">
        <v>240</v>
      </c>
      <c r="G377" s="19">
        <v>4000000</v>
      </c>
      <c r="H377" s="19"/>
      <c r="I377" s="19">
        <v>4000000</v>
      </c>
      <c r="J377" s="20">
        <v>20</v>
      </c>
    </row>
    <row r="378" spans="1:10" x14ac:dyDescent="0.25">
      <c r="A378" s="18">
        <v>45382</v>
      </c>
      <c r="B378" s="18">
        <v>45382</v>
      </c>
      <c r="C378" s="11" t="s">
        <v>259</v>
      </c>
      <c r="D378" s="11" t="s">
        <v>219</v>
      </c>
      <c r="E378" s="13" t="s">
        <v>220</v>
      </c>
      <c r="F378" s="13" t="s">
        <v>240</v>
      </c>
      <c r="G378" s="19"/>
      <c r="H378" s="19">
        <v>4000000</v>
      </c>
      <c r="I378" s="19">
        <v>-4000000</v>
      </c>
      <c r="J378" s="20">
        <v>20</v>
      </c>
    </row>
    <row r="379" spans="1:10" x14ac:dyDescent="0.25">
      <c r="A379" s="18">
        <v>45473</v>
      </c>
      <c r="B379" s="18">
        <v>45473</v>
      </c>
      <c r="C379" s="11" t="s">
        <v>260</v>
      </c>
      <c r="D379" s="11" t="s">
        <v>145</v>
      </c>
      <c r="E379" s="13" t="s">
        <v>146</v>
      </c>
      <c r="F379" s="13" t="s">
        <v>231</v>
      </c>
      <c r="G379" s="19">
        <v>1400000</v>
      </c>
      <c r="H379" s="19"/>
      <c r="I379" s="19">
        <v>1400000</v>
      </c>
      <c r="J379" s="20">
        <v>21</v>
      </c>
    </row>
    <row r="380" spans="1:10" x14ac:dyDescent="0.25">
      <c r="A380" s="18">
        <v>45473</v>
      </c>
      <c r="B380" s="18">
        <v>45473</v>
      </c>
      <c r="C380" s="11" t="s">
        <v>260</v>
      </c>
      <c r="D380" s="11" t="s">
        <v>176</v>
      </c>
      <c r="E380" s="13" t="s">
        <v>177</v>
      </c>
      <c r="F380" s="13" t="s">
        <v>231</v>
      </c>
      <c r="G380" s="19"/>
      <c r="H380" s="19">
        <v>1400000</v>
      </c>
      <c r="I380" s="19">
        <v>-1400000</v>
      </c>
      <c r="J380" s="20">
        <v>21</v>
      </c>
    </row>
    <row r="381" spans="1:10" x14ac:dyDescent="0.25">
      <c r="A381" s="18">
        <v>45473</v>
      </c>
      <c r="B381" s="18">
        <v>45473</v>
      </c>
      <c r="C381" s="11" t="s">
        <v>260</v>
      </c>
      <c r="D381" s="11" t="s">
        <v>196</v>
      </c>
      <c r="E381" s="13" t="s">
        <v>197</v>
      </c>
      <c r="F381" s="13" t="s">
        <v>233</v>
      </c>
      <c r="G381" s="19">
        <v>1225000</v>
      </c>
      <c r="H381" s="19"/>
      <c r="I381" s="19">
        <v>1225000</v>
      </c>
      <c r="J381" s="20">
        <v>21</v>
      </c>
    </row>
    <row r="382" spans="1:10" x14ac:dyDescent="0.25">
      <c r="A382" s="18">
        <v>45473</v>
      </c>
      <c r="B382" s="18">
        <v>45473</v>
      </c>
      <c r="C382" s="11" t="s">
        <v>260</v>
      </c>
      <c r="D382" s="11" t="s">
        <v>170</v>
      </c>
      <c r="E382" s="13" t="s">
        <v>171</v>
      </c>
      <c r="F382" s="13" t="s">
        <v>233</v>
      </c>
      <c r="G382" s="19"/>
      <c r="H382" s="19">
        <v>1225000</v>
      </c>
      <c r="I382" s="19">
        <v>-1225000</v>
      </c>
      <c r="J382" s="20">
        <v>21</v>
      </c>
    </row>
    <row r="383" spans="1:10" x14ac:dyDescent="0.25">
      <c r="A383" s="18">
        <v>45473</v>
      </c>
      <c r="B383" s="18">
        <v>45473</v>
      </c>
      <c r="C383" s="11" t="s">
        <v>260</v>
      </c>
      <c r="D383" s="11" t="s">
        <v>170</v>
      </c>
      <c r="E383" s="13" t="s">
        <v>171</v>
      </c>
      <c r="F383" s="13" t="s">
        <v>233</v>
      </c>
      <c r="G383" s="19">
        <v>1225000</v>
      </c>
      <c r="H383" s="19"/>
      <c r="I383" s="19">
        <v>1225000</v>
      </c>
      <c r="J383" s="20">
        <v>21</v>
      </c>
    </row>
    <row r="384" spans="1:10" x14ac:dyDescent="0.25">
      <c r="A384" s="18">
        <v>45473</v>
      </c>
      <c r="B384" s="18">
        <v>45473</v>
      </c>
      <c r="C384" s="11" t="s">
        <v>260</v>
      </c>
      <c r="D384" s="11" t="s">
        <v>145</v>
      </c>
      <c r="E384" s="13" t="s">
        <v>146</v>
      </c>
      <c r="F384" s="13" t="s">
        <v>233</v>
      </c>
      <c r="G384" s="19"/>
      <c r="H384" s="19">
        <v>1225000</v>
      </c>
      <c r="I384" s="19">
        <v>-1225000</v>
      </c>
      <c r="J384" s="20">
        <v>21</v>
      </c>
    </row>
    <row r="385" spans="1:10" x14ac:dyDescent="0.25">
      <c r="A385" s="18">
        <v>45473</v>
      </c>
      <c r="B385" s="18">
        <v>45473</v>
      </c>
      <c r="C385" s="11" t="s">
        <v>260</v>
      </c>
      <c r="D385" s="11" t="s">
        <v>170</v>
      </c>
      <c r="E385" s="13" t="s">
        <v>171</v>
      </c>
      <c r="F385" s="13" t="s">
        <v>233</v>
      </c>
      <c r="G385" s="19">
        <v>250000</v>
      </c>
      <c r="H385" s="19"/>
      <c r="I385" s="19">
        <v>250000</v>
      </c>
      <c r="J385" s="20">
        <v>21</v>
      </c>
    </row>
    <row r="386" spans="1:10" x14ac:dyDescent="0.25">
      <c r="A386" s="18">
        <v>45473</v>
      </c>
      <c r="B386" s="18">
        <v>45473</v>
      </c>
      <c r="C386" s="11" t="s">
        <v>260</v>
      </c>
      <c r="D386" s="11" t="s">
        <v>199</v>
      </c>
      <c r="E386" s="13" t="s">
        <v>111</v>
      </c>
      <c r="F386" s="13" t="s">
        <v>233</v>
      </c>
      <c r="G386" s="19"/>
      <c r="H386" s="19">
        <v>250000</v>
      </c>
      <c r="I386" s="19">
        <v>-250000</v>
      </c>
      <c r="J386" s="20">
        <v>21</v>
      </c>
    </row>
    <row r="387" spans="1:10" x14ac:dyDescent="0.25">
      <c r="A387" s="18">
        <v>45473</v>
      </c>
      <c r="B387" s="18">
        <v>45473</v>
      </c>
      <c r="C387" s="11" t="s">
        <v>260</v>
      </c>
      <c r="D387" s="11" t="s">
        <v>145</v>
      </c>
      <c r="E387" s="13" t="s">
        <v>146</v>
      </c>
      <c r="F387" s="13" t="s">
        <v>233</v>
      </c>
      <c r="G387" s="19">
        <v>250000</v>
      </c>
      <c r="H387" s="19"/>
      <c r="I387" s="19">
        <v>250000</v>
      </c>
      <c r="J387" s="20">
        <v>21</v>
      </c>
    </row>
    <row r="388" spans="1:10" x14ac:dyDescent="0.25">
      <c r="A388" s="18">
        <v>45473</v>
      </c>
      <c r="B388" s="18">
        <v>45473</v>
      </c>
      <c r="C388" s="11" t="s">
        <v>260</v>
      </c>
      <c r="D388" s="11" t="s">
        <v>170</v>
      </c>
      <c r="E388" s="13" t="s">
        <v>171</v>
      </c>
      <c r="F388" s="13" t="s">
        <v>233</v>
      </c>
      <c r="G388" s="19"/>
      <c r="H388" s="19">
        <v>250000</v>
      </c>
      <c r="I388" s="19">
        <v>-250000</v>
      </c>
      <c r="J388" s="20">
        <v>21</v>
      </c>
    </row>
    <row r="389" spans="1:10" x14ac:dyDescent="0.25">
      <c r="A389" s="18">
        <v>45473</v>
      </c>
      <c r="B389" s="18">
        <v>45473</v>
      </c>
      <c r="C389" s="11" t="s">
        <v>260</v>
      </c>
      <c r="D389" s="11" t="s">
        <v>209</v>
      </c>
      <c r="E389" s="13" t="s">
        <v>210</v>
      </c>
      <c r="F389" s="13" t="s">
        <v>234</v>
      </c>
      <c r="G389" s="19">
        <v>62500</v>
      </c>
      <c r="H389" s="19"/>
      <c r="I389" s="19">
        <v>62500</v>
      </c>
      <c r="J389" s="20">
        <v>21</v>
      </c>
    </row>
    <row r="390" spans="1:10" x14ac:dyDescent="0.25">
      <c r="A390" s="18">
        <v>45473</v>
      </c>
      <c r="B390" s="18">
        <v>45473</v>
      </c>
      <c r="C390" s="11" t="s">
        <v>260</v>
      </c>
      <c r="D390" s="11" t="s">
        <v>205</v>
      </c>
      <c r="E390" s="13" t="s">
        <v>206</v>
      </c>
      <c r="F390" s="13" t="s">
        <v>234</v>
      </c>
      <c r="G390" s="19">
        <v>45000</v>
      </c>
      <c r="H390" s="19"/>
      <c r="I390" s="19">
        <v>45000</v>
      </c>
      <c r="J390" s="20">
        <v>21</v>
      </c>
    </row>
    <row r="391" spans="1:10" x14ac:dyDescent="0.25">
      <c r="A391" s="18">
        <v>45473</v>
      </c>
      <c r="B391" s="18">
        <v>45473</v>
      </c>
      <c r="C391" s="11" t="s">
        <v>260</v>
      </c>
      <c r="D391" s="11" t="s">
        <v>207</v>
      </c>
      <c r="E391" s="13" t="s">
        <v>208</v>
      </c>
      <c r="F391" s="13" t="s">
        <v>234</v>
      </c>
      <c r="G391" s="19">
        <v>18000</v>
      </c>
      <c r="H391" s="19"/>
      <c r="I391" s="19">
        <v>18000</v>
      </c>
      <c r="J391" s="20">
        <v>21</v>
      </c>
    </row>
    <row r="392" spans="1:10" x14ac:dyDescent="0.25">
      <c r="A392" s="18">
        <v>45473</v>
      </c>
      <c r="B392" s="18">
        <v>45473</v>
      </c>
      <c r="C392" s="11" t="s">
        <v>260</v>
      </c>
      <c r="D392" s="11" t="s">
        <v>211</v>
      </c>
      <c r="E392" s="13" t="s">
        <v>212</v>
      </c>
      <c r="F392" s="13" t="s">
        <v>234</v>
      </c>
      <c r="G392" s="19">
        <v>7500</v>
      </c>
      <c r="H392" s="19"/>
      <c r="I392" s="19">
        <v>7500</v>
      </c>
      <c r="J392" s="20">
        <v>21</v>
      </c>
    </row>
    <row r="393" spans="1:10" x14ac:dyDescent="0.25">
      <c r="A393" s="18">
        <v>45473</v>
      </c>
      <c r="B393" s="18">
        <v>45473</v>
      </c>
      <c r="C393" s="11" t="s">
        <v>260</v>
      </c>
      <c r="D393" s="11" t="s">
        <v>215</v>
      </c>
      <c r="E393" s="13" t="s">
        <v>216</v>
      </c>
      <c r="F393" s="13" t="s">
        <v>234</v>
      </c>
      <c r="G393" s="19">
        <v>9000</v>
      </c>
      <c r="H393" s="19"/>
      <c r="I393" s="19">
        <v>9000</v>
      </c>
      <c r="J393" s="20">
        <v>21</v>
      </c>
    </row>
    <row r="394" spans="1:10" x14ac:dyDescent="0.25">
      <c r="A394" s="18">
        <v>45473</v>
      </c>
      <c r="B394" s="18">
        <v>45473</v>
      </c>
      <c r="C394" s="11" t="s">
        <v>260</v>
      </c>
      <c r="D394" s="11" t="s">
        <v>166</v>
      </c>
      <c r="E394" s="13" t="s">
        <v>167</v>
      </c>
      <c r="F394" s="13" t="s">
        <v>234</v>
      </c>
      <c r="G394" s="19"/>
      <c r="H394" s="19">
        <v>142000</v>
      </c>
      <c r="I394" s="19">
        <v>-142000</v>
      </c>
      <c r="J394" s="20">
        <v>21</v>
      </c>
    </row>
    <row r="395" spans="1:10" x14ac:dyDescent="0.25">
      <c r="A395" s="18">
        <v>45473</v>
      </c>
      <c r="B395" s="18">
        <v>45473</v>
      </c>
      <c r="C395" s="11" t="s">
        <v>260</v>
      </c>
      <c r="D395" s="11" t="s">
        <v>166</v>
      </c>
      <c r="E395" s="13" t="s">
        <v>167</v>
      </c>
      <c r="F395" s="13" t="s">
        <v>234</v>
      </c>
      <c r="G395" s="19">
        <v>142000</v>
      </c>
      <c r="H395" s="19"/>
      <c r="I395" s="19">
        <v>142000</v>
      </c>
      <c r="J395" s="20">
        <v>21</v>
      </c>
    </row>
    <row r="396" spans="1:10" x14ac:dyDescent="0.25">
      <c r="A396" s="18">
        <v>45473</v>
      </c>
      <c r="B396" s="18">
        <v>45473</v>
      </c>
      <c r="C396" s="11" t="s">
        <v>260</v>
      </c>
      <c r="D396" s="11" t="s">
        <v>145</v>
      </c>
      <c r="E396" s="13" t="s">
        <v>146</v>
      </c>
      <c r="F396" s="13" t="s">
        <v>234</v>
      </c>
      <c r="G396" s="19"/>
      <c r="H396" s="19">
        <v>142000</v>
      </c>
      <c r="I396" s="19">
        <v>-142000</v>
      </c>
      <c r="J396" s="20">
        <v>21</v>
      </c>
    </row>
    <row r="397" spans="1:10" x14ac:dyDescent="0.25">
      <c r="A397" s="18">
        <v>45473</v>
      </c>
      <c r="B397" s="18">
        <v>45473</v>
      </c>
      <c r="C397" s="11" t="s">
        <v>260</v>
      </c>
      <c r="D397" s="11" t="s">
        <v>151</v>
      </c>
      <c r="E397" s="13" t="s">
        <v>152</v>
      </c>
      <c r="F397" s="13" t="s">
        <v>252</v>
      </c>
      <c r="G397" s="19">
        <v>532043.43000000005</v>
      </c>
      <c r="H397" s="19"/>
      <c r="I397" s="19">
        <v>532043.43000000005</v>
      </c>
      <c r="J397" s="20">
        <v>21</v>
      </c>
    </row>
    <row r="398" spans="1:10" x14ac:dyDescent="0.25">
      <c r="A398" s="18">
        <v>45473</v>
      </c>
      <c r="B398" s="18">
        <v>45473</v>
      </c>
      <c r="C398" s="11" t="s">
        <v>260</v>
      </c>
      <c r="D398" s="11" t="s">
        <v>188</v>
      </c>
      <c r="E398" s="13" t="s">
        <v>189</v>
      </c>
      <c r="F398" s="13" t="s">
        <v>236</v>
      </c>
      <c r="G398" s="19"/>
      <c r="H398" s="19">
        <v>532043.43000000005</v>
      </c>
      <c r="I398" s="19">
        <v>-532043.43000000005</v>
      </c>
      <c r="J398" s="20">
        <v>21</v>
      </c>
    </row>
    <row r="399" spans="1:10" x14ac:dyDescent="0.25">
      <c r="A399" s="18">
        <v>45473</v>
      </c>
      <c r="B399" s="18">
        <v>45473</v>
      </c>
      <c r="C399" s="11" t="s">
        <v>260</v>
      </c>
      <c r="D399" s="11" t="s">
        <v>153</v>
      </c>
      <c r="E399" s="13" t="s">
        <v>154</v>
      </c>
      <c r="F399" s="13" t="s">
        <v>240</v>
      </c>
      <c r="G399" s="19">
        <v>13000000</v>
      </c>
      <c r="H399" s="19"/>
      <c r="I399" s="19">
        <v>13000000</v>
      </c>
      <c r="J399" s="20">
        <v>21</v>
      </c>
    </row>
    <row r="400" spans="1:10" x14ac:dyDescent="0.25">
      <c r="A400" s="18">
        <v>45473</v>
      </c>
      <c r="B400" s="18">
        <v>45473</v>
      </c>
      <c r="C400" s="11" t="s">
        <v>260</v>
      </c>
      <c r="D400" s="11" t="s">
        <v>219</v>
      </c>
      <c r="E400" s="13" t="s">
        <v>220</v>
      </c>
      <c r="F400" s="13" t="s">
        <v>240</v>
      </c>
      <c r="G400" s="19"/>
      <c r="H400" s="19">
        <v>13000000</v>
      </c>
      <c r="I400" s="19">
        <v>-13000000</v>
      </c>
      <c r="J400" s="20">
        <v>21</v>
      </c>
    </row>
    <row r="401" spans="1:10" x14ac:dyDescent="0.25">
      <c r="A401" s="18">
        <v>45565</v>
      </c>
      <c r="B401" s="18">
        <v>45565</v>
      </c>
      <c r="C401" s="11" t="s">
        <v>261</v>
      </c>
      <c r="D401" s="11" t="s">
        <v>145</v>
      </c>
      <c r="E401" s="13" t="s">
        <v>146</v>
      </c>
      <c r="F401" s="13" t="s">
        <v>231</v>
      </c>
      <c r="G401" s="19">
        <v>800000</v>
      </c>
      <c r="H401" s="19"/>
      <c r="I401" s="19">
        <v>800000</v>
      </c>
      <c r="J401" s="20">
        <v>22</v>
      </c>
    </row>
    <row r="402" spans="1:10" x14ac:dyDescent="0.25">
      <c r="A402" s="18">
        <v>45565</v>
      </c>
      <c r="B402" s="18">
        <v>45565</v>
      </c>
      <c r="C402" s="11" t="s">
        <v>261</v>
      </c>
      <c r="D402" s="11" t="s">
        <v>176</v>
      </c>
      <c r="E402" s="13" t="s">
        <v>177</v>
      </c>
      <c r="F402" s="13" t="s">
        <v>231</v>
      </c>
      <c r="G402" s="19"/>
      <c r="H402" s="19">
        <v>800000</v>
      </c>
      <c r="I402" s="19">
        <v>-800000</v>
      </c>
      <c r="J402" s="20">
        <v>22</v>
      </c>
    </row>
    <row r="403" spans="1:10" x14ac:dyDescent="0.25">
      <c r="A403" s="18">
        <v>45565</v>
      </c>
      <c r="B403" s="18">
        <v>45565</v>
      </c>
      <c r="C403" s="11" t="s">
        <v>261</v>
      </c>
      <c r="D403" s="11" t="s">
        <v>196</v>
      </c>
      <c r="E403" s="13" t="s">
        <v>197</v>
      </c>
      <c r="F403" s="13" t="s">
        <v>233</v>
      </c>
      <c r="G403" s="19">
        <v>1225000</v>
      </c>
      <c r="H403" s="19"/>
      <c r="I403" s="19">
        <v>1225000</v>
      </c>
      <c r="J403" s="20">
        <v>22</v>
      </c>
    </row>
    <row r="404" spans="1:10" x14ac:dyDescent="0.25">
      <c r="A404" s="18">
        <v>45565</v>
      </c>
      <c r="B404" s="18">
        <v>45565</v>
      </c>
      <c r="C404" s="11" t="s">
        <v>261</v>
      </c>
      <c r="D404" s="11" t="s">
        <v>170</v>
      </c>
      <c r="E404" s="13" t="s">
        <v>171</v>
      </c>
      <c r="F404" s="13" t="s">
        <v>233</v>
      </c>
      <c r="G404" s="19"/>
      <c r="H404" s="19">
        <v>1225000</v>
      </c>
      <c r="I404" s="19">
        <v>-1225000</v>
      </c>
      <c r="J404" s="20">
        <v>22</v>
      </c>
    </row>
    <row r="405" spans="1:10" x14ac:dyDescent="0.25">
      <c r="A405" s="18">
        <v>45565</v>
      </c>
      <c r="B405" s="18">
        <v>45565</v>
      </c>
      <c r="C405" s="11" t="s">
        <v>261</v>
      </c>
      <c r="D405" s="11" t="s">
        <v>170</v>
      </c>
      <c r="E405" s="13" t="s">
        <v>171</v>
      </c>
      <c r="F405" s="13" t="s">
        <v>233</v>
      </c>
      <c r="G405" s="19">
        <v>1225000</v>
      </c>
      <c r="H405" s="19"/>
      <c r="I405" s="19">
        <v>1225000</v>
      </c>
      <c r="J405" s="20">
        <v>22</v>
      </c>
    </row>
    <row r="406" spans="1:10" x14ac:dyDescent="0.25">
      <c r="A406" s="18">
        <v>45565</v>
      </c>
      <c r="B406" s="18">
        <v>45565</v>
      </c>
      <c r="C406" s="11" t="s">
        <v>261</v>
      </c>
      <c r="D406" s="11" t="s">
        <v>145</v>
      </c>
      <c r="E406" s="13" t="s">
        <v>146</v>
      </c>
      <c r="F406" s="13" t="s">
        <v>233</v>
      </c>
      <c r="G406" s="19"/>
      <c r="H406" s="19">
        <v>1225000</v>
      </c>
      <c r="I406" s="19">
        <v>-1225000</v>
      </c>
      <c r="J406" s="20">
        <v>22</v>
      </c>
    </row>
    <row r="407" spans="1:10" x14ac:dyDescent="0.25">
      <c r="A407" s="18">
        <v>45565</v>
      </c>
      <c r="B407" s="18">
        <v>45565</v>
      </c>
      <c r="C407" s="11" t="s">
        <v>261</v>
      </c>
      <c r="D407" s="11" t="s">
        <v>209</v>
      </c>
      <c r="E407" s="13" t="s">
        <v>210</v>
      </c>
      <c r="F407" s="13" t="s">
        <v>234</v>
      </c>
      <c r="G407" s="19">
        <v>62500</v>
      </c>
      <c r="H407" s="19"/>
      <c r="I407" s="19">
        <v>62500</v>
      </c>
      <c r="J407" s="20">
        <v>22</v>
      </c>
    </row>
    <row r="408" spans="1:10" x14ac:dyDescent="0.25">
      <c r="A408" s="18">
        <v>45565</v>
      </c>
      <c r="B408" s="18">
        <v>45565</v>
      </c>
      <c r="C408" s="11" t="s">
        <v>261</v>
      </c>
      <c r="D408" s="11" t="s">
        <v>205</v>
      </c>
      <c r="E408" s="13" t="s">
        <v>206</v>
      </c>
      <c r="F408" s="13" t="s">
        <v>234</v>
      </c>
      <c r="G408" s="19">
        <v>45000</v>
      </c>
      <c r="H408" s="19"/>
      <c r="I408" s="19">
        <v>45000</v>
      </c>
      <c r="J408" s="20">
        <v>22</v>
      </c>
    </row>
    <row r="409" spans="1:10" x14ac:dyDescent="0.25">
      <c r="A409" s="18">
        <v>45565</v>
      </c>
      <c r="B409" s="18">
        <v>45565</v>
      </c>
      <c r="C409" s="11" t="s">
        <v>261</v>
      </c>
      <c r="D409" s="11" t="s">
        <v>207</v>
      </c>
      <c r="E409" s="13" t="s">
        <v>208</v>
      </c>
      <c r="F409" s="13" t="s">
        <v>234</v>
      </c>
      <c r="G409" s="19">
        <v>18000</v>
      </c>
      <c r="H409" s="19"/>
      <c r="I409" s="19">
        <v>18000</v>
      </c>
      <c r="J409" s="20">
        <v>22</v>
      </c>
    </row>
    <row r="410" spans="1:10" x14ac:dyDescent="0.25">
      <c r="A410" s="18">
        <v>45565</v>
      </c>
      <c r="B410" s="18">
        <v>45565</v>
      </c>
      <c r="C410" s="11" t="s">
        <v>261</v>
      </c>
      <c r="D410" s="11" t="s">
        <v>211</v>
      </c>
      <c r="E410" s="13" t="s">
        <v>212</v>
      </c>
      <c r="F410" s="13" t="s">
        <v>234</v>
      </c>
      <c r="G410" s="19">
        <v>7500</v>
      </c>
      <c r="H410" s="19"/>
      <c r="I410" s="19">
        <v>7500</v>
      </c>
      <c r="J410" s="20">
        <v>22</v>
      </c>
    </row>
    <row r="411" spans="1:10" x14ac:dyDescent="0.25">
      <c r="A411" s="18">
        <v>45565</v>
      </c>
      <c r="B411" s="18">
        <v>45565</v>
      </c>
      <c r="C411" s="11" t="s">
        <v>261</v>
      </c>
      <c r="D411" s="11" t="s">
        <v>215</v>
      </c>
      <c r="E411" s="13" t="s">
        <v>216</v>
      </c>
      <c r="F411" s="13" t="s">
        <v>234</v>
      </c>
      <c r="G411" s="19">
        <v>9000</v>
      </c>
      <c r="H411" s="19"/>
      <c r="I411" s="19">
        <v>9000</v>
      </c>
      <c r="J411" s="20">
        <v>22</v>
      </c>
    </row>
    <row r="412" spans="1:10" x14ac:dyDescent="0.25">
      <c r="A412" s="18">
        <v>45565</v>
      </c>
      <c r="B412" s="18">
        <v>45565</v>
      </c>
      <c r="C412" s="11" t="s">
        <v>261</v>
      </c>
      <c r="D412" s="11" t="s">
        <v>166</v>
      </c>
      <c r="E412" s="13" t="s">
        <v>167</v>
      </c>
      <c r="F412" s="13" t="s">
        <v>234</v>
      </c>
      <c r="G412" s="19"/>
      <c r="H412" s="19">
        <v>142000</v>
      </c>
      <c r="I412" s="19">
        <v>-142000</v>
      </c>
      <c r="J412" s="20">
        <v>22</v>
      </c>
    </row>
    <row r="413" spans="1:10" x14ac:dyDescent="0.25">
      <c r="A413" s="18">
        <v>45565</v>
      </c>
      <c r="B413" s="18">
        <v>45565</v>
      </c>
      <c r="C413" s="11" t="s">
        <v>261</v>
      </c>
      <c r="D413" s="11" t="s">
        <v>166</v>
      </c>
      <c r="E413" s="13" t="s">
        <v>167</v>
      </c>
      <c r="F413" s="13" t="s">
        <v>234</v>
      </c>
      <c r="G413" s="19">
        <v>142000</v>
      </c>
      <c r="H413" s="19"/>
      <c r="I413" s="19">
        <v>142000</v>
      </c>
      <c r="J413" s="20">
        <v>22</v>
      </c>
    </row>
    <row r="414" spans="1:10" x14ac:dyDescent="0.25">
      <c r="A414" s="18">
        <v>45565</v>
      </c>
      <c r="B414" s="18">
        <v>45565</v>
      </c>
      <c r="C414" s="11" t="s">
        <v>261</v>
      </c>
      <c r="D414" s="11" t="s">
        <v>145</v>
      </c>
      <c r="E414" s="13" t="s">
        <v>146</v>
      </c>
      <c r="F414" s="13" t="s">
        <v>234</v>
      </c>
      <c r="G414" s="19"/>
      <c r="H414" s="19">
        <v>142000</v>
      </c>
      <c r="I414" s="19">
        <v>-142000</v>
      </c>
      <c r="J414" s="20">
        <v>22</v>
      </c>
    </row>
    <row r="415" spans="1:10" x14ac:dyDescent="0.25">
      <c r="A415" s="18">
        <v>45565</v>
      </c>
      <c r="B415" s="18">
        <v>45565</v>
      </c>
      <c r="C415" s="11" t="s">
        <v>261</v>
      </c>
      <c r="D415" s="11" t="s">
        <v>151</v>
      </c>
      <c r="E415" s="13" t="s">
        <v>152</v>
      </c>
      <c r="F415" s="13" t="s">
        <v>252</v>
      </c>
      <c r="G415" s="19">
        <v>548004.74</v>
      </c>
      <c r="H415" s="19"/>
      <c r="I415" s="19">
        <v>548004.74</v>
      </c>
      <c r="J415" s="20">
        <v>22</v>
      </c>
    </row>
    <row r="416" spans="1:10" x14ac:dyDescent="0.25">
      <c r="A416" s="18">
        <v>45565</v>
      </c>
      <c r="B416" s="18">
        <v>45565</v>
      </c>
      <c r="C416" s="11" t="s">
        <v>261</v>
      </c>
      <c r="D416" s="11" t="s">
        <v>188</v>
      </c>
      <c r="E416" s="13" t="s">
        <v>189</v>
      </c>
      <c r="F416" s="13" t="s">
        <v>236</v>
      </c>
      <c r="G416" s="19"/>
      <c r="H416" s="19">
        <v>548004.74</v>
      </c>
      <c r="I416" s="19">
        <v>-548004.74</v>
      </c>
      <c r="J416" s="20">
        <v>22</v>
      </c>
    </row>
    <row r="417" spans="1:10" x14ac:dyDescent="0.25">
      <c r="A417" s="18">
        <v>45565</v>
      </c>
      <c r="B417" s="18">
        <v>45565</v>
      </c>
      <c r="C417" s="11" t="s">
        <v>261</v>
      </c>
      <c r="D417" s="11" t="s">
        <v>145</v>
      </c>
      <c r="E417" s="13" t="s">
        <v>146</v>
      </c>
      <c r="F417" s="13" t="s">
        <v>262</v>
      </c>
      <c r="G417" s="19">
        <v>118000000</v>
      </c>
      <c r="H417" s="19"/>
      <c r="I417" s="19">
        <v>118000000</v>
      </c>
      <c r="J417" s="20">
        <v>22</v>
      </c>
    </row>
    <row r="418" spans="1:10" x14ac:dyDescent="0.25">
      <c r="A418" s="18">
        <v>45565</v>
      </c>
      <c r="B418" s="18">
        <v>45565</v>
      </c>
      <c r="C418" s="11" t="s">
        <v>261</v>
      </c>
      <c r="D418" s="11" t="s">
        <v>151</v>
      </c>
      <c r="E418" s="13" t="s">
        <v>152</v>
      </c>
      <c r="F418" s="13" t="s">
        <v>262</v>
      </c>
      <c r="G418" s="19"/>
      <c r="H418" s="19">
        <v>50000000</v>
      </c>
      <c r="I418" s="19">
        <v>-50000000</v>
      </c>
      <c r="J418" s="20">
        <v>22</v>
      </c>
    </row>
    <row r="419" spans="1:10" x14ac:dyDescent="0.25">
      <c r="A419" s="18">
        <v>45565</v>
      </c>
      <c r="B419" s="18">
        <v>45565</v>
      </c>
      <c r="C419" s="11" t="s">
        <v>261</v>
      </c>
      <c r="D419" s="11" t="s">
        <v>217</v>
      </c>
      <c r="E419" s="13" t="s">
        <v>218</v>
      </c>
      <c r="F419" s="13" t="s">
        <v>262</v>
      </c>
      <c r="G419" s="19"/>
      <c r="H419" s="19">
        <v>68000000</v>
      </c>
      <c r="I419" s="19">
        <v>-68000000</v>
      </c>
      <c r="J419" s="20">
        <v>22</v>
      </c>
    </row>
    <row r="420" spans="1:10" x14ac:dyDescent="0.25">
      <c r="A420" s="18">
        <v>45565</v>
      </c>
      <c r="B420" s="18">
        <v>45565</v>
      </c>
      <c r="C420" s="11" t="s">
        <v>261</v>
      </c>
      <c r="D420" s="11" t="s">
        <v>219</v>
      </c>
      <c r="E420" s="13" t="s">
        <v>220</v>
      </c>
      <c r="F420" s="13" t="s">
        <v>240</v>
      </c>
      <c r="G420" s="19">
        <v>58000000</v>
      </c>
      <c r="H420" s="19"/>
      <c r="I420" s="19">
        <v>58000000</v>
      </c>
      <c r="J420" s="20">
        <v>22</v>
      </c>
    </row>
    <row r="421" spans="1:10" x14ac:dyDescent="0.25">
      <c r="A421" s="18">
        <v>45565</v>
      </c>
      <c r="B421" s="18">
        <v>45565</v>
      </c>
      <c r="C421" s="11" t="s">
        <v>261</v>
      </c>
      <c r="D421" s="11" t="s">
        <v>153</v>
      </c>
      <c r="E421" s="13" t="s">
        <v>154</v>
      </c>
      <c r="F421" s="13" t="s">
        <v>240</v>
      </c>
      <c r="G421" s="19"/>
      <c r="H421" s="19">
        <v>58000000</v>
      </c>
      <c r="I421" s="19">
        <v>-58000000</v>
      </c>
      <c r="J421" s="20">
        <v>22</v>
      </c>
    </row>
    <row r="422" spans="1:10" x14ac:dyDescent="0.25">
      <c r="A422" s="18">
        <v>45565</v>
      </c>
      <c r="B422" s="18">
        <v>45565</v>
      </c>
      <c r="C422" s="11" t="s">
        <v>261</v>
      </c>
      <c r="D422" s="11" t="s">
        <v>183</v>
      </c>
      <c r="E422" s="13" t="s">
        <v>184</v>
      </c>
      <c r="F422" s="13" t="s">
        <v>263</v>
      </c>
      <c r="G422" s="19">
        <v>115200000</v>
      </c>
      <c r="H422" s="19"/>
      <c r="I422" s="19">
        <v>115200000</v>
      </c>
      <c r="J422" s="20">
        <v>22</v>
      </c>
    </row>
    <row r="423" spans="1:10" x14ac:dyDescent="0.25">
      <c r="A423" s="18">
        <v>45565</v>
      </c>
      <c r="B423" s="18">
        <v>45565</v>
      </c>
      <c r="C423" s="11" t="s">
        <v>261</v>
      </c>
      <c r="D423" s="11" t="s">
        <v>145</v>
      </c>
      <c r="E423" s="13" t="s">
        <v>146</v>
      </c>
      <c r="F423" s="13" t="s">
        <v>263</v>
      </c>
      <c r="G423" s="19"/>
      <c r="H423" s="19">
        <v>115200000</v>
      </c>
      <c r="I423" s="19">
        <v>-115200000</v>
      </c>
      <c r="J423" s="20">
        <v>22</v>
      </c>
    </row>
    <row r="424" spans="1:10" x14ac:dyDescent="0.25">
      <c r="A424" s="18">
        <v>45657</v>
      </c>
      <c r="B424" s="18">
        <v>45657</v>
      </c>
      <c r="C424" s="11" t="s">
        <v>264</v>
      </c>
      <c r="D424" s="11" t="s">
        <v>196</v>
      </c>
      <c r="E424" s="13" t="s">
        <v>197</v>
      </c>
      <c r="F424" s="13" t="s">
        <v>233</v>
      </c>
      <c r="G424" s="19">
        <v>1225000</v>
      </c>
      <c r="H424" s="19"/>
      <c r="I424" s="19">
        <v>1225000</v>
      </c>
      <c r="J424" s="20">
        <v>23</v>
      </c>
    </row>
    <row r="425" spans="1:10" x14ac:dyDescent="0.25">
      <c r="A425" s="18">
        <v>45657</v>
      </c>
      <c r="B425" s="18">
        <v>45657</v>
      </c>
      <c r="C425" s="11" t="s">
        <v>264</v>
      </c>
      <c r="D425" s="11" t="s">
        <v>170</v>
      </c>
      <c r="E425" s="13" t="s">
        <v>171</v>
      </c>
      <c r="F425" s="13" t="s">
        <v>233</v>
      </c>
      <c r="G425" s="19"/>
      <c r="H425" s="19">
        <v>1225000</v>
      </c>
      <c r="I425" s="19">
        <v>-1225000</v>
      </c>
      <c r="J425" s="20">
        <v>23</v>
      </c>
    </row>
    <row r="426" spans="1:10" x14ac:dyDescent="0.25">
      <c r="A426" s="18">
        <v>45657</v>
      </c>
      <c r="B426" s="18">
        <v>45657</v>
      </c>
      <c r="C426" s="11" t="s">
        <v>264</v>
      </c>
      <c r="D426" s="11" t="s">
        <v>170</v>
      </c>
      <c r="E426" s="13" t="s">
        <v>171</v>
      </c>
      <c r="F426" s="13" t="s">
        <v>233</v>
      </c>
      <c r="G426" s="19">
        <v>1225000</v>
      </c>
      <c r="H426" s="19"/>
      <c r="I426" s="19">
        <v>1225000</v>
      </c>
      <c r="J426" s="20">
        <v>23</v>
      </c>
    </row>
    <row r="427" spans="1:10" x14ac:dyDescent="0.25">
      <c r="A427" s="18">
        <v>45657</v>
      </c>
      <c r="B427" s="18">
        <v>45657</v>
      </c>
      <c r="C427" s="11" t="s">
        <v>264</v>
      </c>
      <c r="D427" s="11" t="s">
        <v>145</v>
      </c>
      <c r="E427" s="13" t="s">
        <v>146</v>
      </c>
      <c r="F427" s="13" t="s">
        <v>233</v>
      </c>
      <c r="G427" s="19"/>
      <c r="H427" s="19">
        <v>1225000</v>
      </c>
      <c r="I427" s="19">
        <v>-1225000</v>
      </c>
      <c r="J427" s="20">
        <v>23</v>
      </c>
    </row>
    <row r="428" spans="1:10" x14ac:dyDescent="0.25">
      <c r="A428" s="18">
        <v>45657</v>
      </c>
      <c r="B428" s="18">
        <v>45657</v>
      </c>
      <c r="C428" s="11" t="s">
        <v>264</v>
      </c>
      <c r="D428" s="11" t="s">
        <v>209</v>
      </c>
      <c r="E428" s="13" t="s">
        <v>210</v>
      </c>
      <c r="F428" s="13" t="s">
        <v>234</v>
      </c>
      <c r="G428" s="19">
        <v>62500</v>
      </c>
      <c r="H428" s="19"/>
      <c r="I428" s="19">
        <v>62500</v>
      </c>
      <c r="J428" s="20">
        <v>23</v>
      </c>
    </row>
    <row r="429" spans="1:10" x14ac:dyDescent="0.25">
      <c r="A429" s="18">
        <v>45657</v>
      </c>
      <c r="B429" s="18">
        <v>45657</v>
      </c>
      <c r="C429" s="11" t="s">
        <v>264</v>
      </c>
      <c r="D429" s="11" t="s">
        <v>205</v>
      </c>
      <c r="E429" s="13" t="s">
        <v>206</v>
      </c>
      <c r="F429" s="13" t="s">
        <v>234</v>
      </c>
      <c r="G429" s="19">
        <v>45000</v>
      </c>
      <c r="H429" s="19"/>
      <c r="I429" s="19">
        <v>45000</v>
      </c>
      <c r="J429" s="20">
        <v>23</v>
      </c>
    </row>
    <row r="430" spans="1:10" x14ac:dyDescent="0.25">
      <c r="A430" s="18">
        <v>45657</v>
      </c>
      <c r="B430" s="18">
        <v>45657</v>
      </c>
      <c r="C430" s="11" t="s">
        <v>264</v>
      </c>
      <c r="D430" s="11" t="s">
        <v>207</v>
      </c>
      <c r="E430" s="13" t="s">
        <v>208</v>
      </c>
      <c r="F430" s="13" t="s">
        <v>234</v>
      </c>
      <c r="G430" s="19">
        <v>18000</v>
      </c>
      <c r="H430" s="19"/>
      <c r="I430" s="19">
        <v>18000</v>
      </c>
      <c r="J430" s="20">
        <v>23</v>
      </c>
    </row>
    <row r="431" spans="1:10" x14ac:dyDescent="0.25">
      <c r="A431" s="18">
        <v>45657</v>
      </c>
      <c r="B431" s="18">
        <v>45657</v>
      </c>
      <c r="C431" s="11" t="s">
        <v>264</v>
      </c>
      <c r="D431" s="11" t="s">
        <v>211</v>
      </c>
      <c r="E431" s="13" t="s">
        <v>212</v>
      </c>
      <c r="F431" s="13" t="s">
        <v>234</v>
      </c>
      <c r="G431" s="19">
        <v>7500</v>
      </c>
      <c r="H431" s="19"/>
      <c r="I431" s="19">
        <v>7500</v>
      </c>
      <c r="J431" s="20">
        <v>23</v>
      </c>
    </row>
    <row r="432" spans="1:10" x14ac:dyDescent="0.25">
      <c r="A432" s="18">
        <v>45657</v>
      </c>
      <c r="B432" s="18">
        <v>45657</v>
      </c>
      <c r="C432" s="11" t="s">
        <v>264</v>
      </c>
      <c r="D432" s="11" t="s">
        <v>215</v>
      </c>
      <c r="E432" s="13" t="s">
        <v>216</v>
      </c>
      <c r="F432" s="13" t="s">
        <v>234</v>
      </c>
      <c r="G432" s="19">
        <v>9000</v>
      </c>
      <c r="H432" s="19"/>
      <c r="I432" s="19">
        <v>9000</v>
      </c>
      <c r="J432" s="20">
        <v>23</v>
      </c>
    </row>
    <row r="433" spans="1:10" x14ac:dyDescent="0.25">
      <c r="A433" s="18">
        <v>45657</v>
      </c>
      <c r="B433" s="18">
        <v>45657</v>
      </c>
      <c r="C433" s="11" t="s">
        <v>264</v>
      </c>
      <c r="D433" s="11" t="s">
        <v>166</v>
      </c>
      <c r="E433" s="13" t="s">
        <v>167</v>
      </c>
      <c r="F433" s="13" t="s">
        <v>234</v>
      </c>
      <c r="G433" s="19"/>
      <c r="H433" s="19">
        <v>142000</v>
      </c>
      <c r="I433" s="19">
        <v>-142000</v>
      </c>
      <c r="J433" s="20">
        <v>23</v>
      </c>
    </row>
    <row r="434" spans="1:10" x14ac:dyDescent="0.25">
      <c r="A434" s="18">
        <v>45657</v>
      </c>
      <c r="B434" s="18">
        <v>45657</v>
      </c>
      <c r="C434" s="11" t="s">
        <v>264</v>
      </c>
      <c r="D434" s="11" t="s">
        <v>166</v>
      </c>
      <c r="E434" s="13" t="s">
        <v>167</v>
      </c>
      <c r="F434" s="13" t="s">
        <v>234</v>
      </c>
      <c r="G434" s="19">
        <v>142000</v>
      </c>
      <c r="H434" s="19"/>
      <c r="I434" s="19">
        <v>142000</v>
      </c>
      <c r="J434" s="20">
        <v>23</v>
      </c>
    </row>
    <row r="435" spans="1:10" x14ac:dyDescent="0.25">
      <c r="A435" s="18">
        <v>45657</v>
      </c>
      <c r="B435" s="18">
        <v>45657</v>
      </c>
      <c r="C435" s="11" t="s">
        <v>264</v>
      </c>
      <c r="D435" s="11" t="s">
        <v>145</v>
      </c>
      <c r="E435" s="13" t="s">
        <v>146</v>
      </c>
      <c r="F435" s="13" t="s">
        <v>234</v>
      </c>
      <c r="G435" s="19"/>
      <c r="H435" s="19">
        <v>142000</v>
      </c>
      <c r="I435" s="19">
        <v>-142000</v>
      </c>
      <c r="J435" s="20">
        <v>23</v>
      </c>
    </row>
    <row r="436" spans="1:10" x14ac:dyDescent="0.25">
      <c r="A436" s="18">
        <v>45657</v>
      </c>
      <c r="B436" s="18">
        <v>45657</v>
      </c>
      <c r="C436" s="11" t="s">
        <v>264</v>
      </c>
      <c r="D436" s="11" t="s">
        <v>151</v>
      </c>
      <c r="E436" s="13" t="s">
        <v>152</v>
      </c>
      <c r="F436" s="13" t="s">
        <v>252</v>
      </c>
      <c r="G436" s="19">
        <v>564444.88</v>
      </c>
      <c r="H436" s="19"/>
      <c r="I436" s="19">
        <v>564444.88</v>
      </c>
      <c r="J436" s="20">
        <v>23</v>
      </c>
    </row>
    <row r="437" spans="1:10" x14ac:dyDescent="0.25">
      <c r="A437" s="18">
        <v>45657</v>
      </c>
      <c r="B437" s="18">
        <v>45657</v>
      </c>
      <c r="C437" s="11" t="s">
        <v>264</v>
      </c>
      <c r="D437" s="11" t="s">
        <v>188</v>
      </c>
      <c r="E437" s="13" t="s">
        <v>189</v>
      </c>
      <c r="F437" s="13" t="s">
        <v>236</v>
      </c>
      <c r="G437" s="19"/>
      <c r="H437" s="19">
        <v>564444.88</v>
      </c>
      <c r="I437" s="19">
        <v>-564444.88</v>
      </c>
      <c r="J437" s="20">
        <v>23</v>
      </c>
    </row>
    <row r="438" spans="1:10" x14ac:dyDescent="0.25">
      <c r="A438" s="18">
        <v>45657</v>
      </c>
      <c r="B438" s="18">
        <v>45657</v>
      </c>
      <c r="C438" s="11" t="s">
        <v>264</v>
      </c>
      <c r="D438" s="11" t="s">
        <v>153</v>
      </c>
      <c r="E438" s="13" t="s">
        <v>154</v>
      </c>
      <c r="F438" s="13" t="s">
        <v>240</v>
      </c>
      <c r="G438" s="19">
        <v>26000000</v>
      </c>
      <c r="H438" s="19"/>
      <c r="I438" s="19">
        <v>26000000</v>
      </c>
      <c r="J438" s="20">
        <v>23</v>
      </c>
    </row>
    <row r="439" spans="1:10" x14ac:dyDescent="0.25">
      <c r="A439" s="18">
        <v>45657</v>
      </c>
      <c r="B439" s="18">
        <v>45657</v>
      </c>
      <c r="C439" s="11" t="s">
        <v>264</v>
      </c>
      <c r="D439" s="11" t="s">
        <v>219</v>
      </c>
      <c r="E439" s="13" t="s">
        <v>220</v>
      </c>
      <c r="F439" s="13" t="s">
        <v>240</v>
      </c>
      <c r="G439" s="19"/>
      <c r="H439" s="19">
        <v>26000000</v>
      </c>
      <c r="I439" s="19">
        <v>-26000000</v>
      </c>
      <c r="J439" s="20">
        <v>23</v>
      </c>
    </row>
    <row r="440" spans="1:10" x14ac:dyDescent="0.25">
      <c r="A440" s="18">
        <v>45747</v>
      </c>
      <c r="B440" s="18">
        <v>45747</v>
      </c>
      <c r="C440" s="11" t="s">
        <v>265</v>
      </c>
      <c r="D440" s="11" t="s">
        <v>196</v>
      </c>
      <c r="E440" s="13" t="s">
        <v>197</v>
      </c>
      <c r="F440" s="13" t="s">
        <v>233</v>
      </c>
      <c r="G440" s="19">
        <v>1225000</v>
      </c>
      <c r="H440" s="19"/>
      <c r="I440" s="19">
        <v>1225000</v>
      </c>
      <c r="J440" s="20">
        <v>24</v>
      </c>
    </row>
    <row r="441" spans="1:10" x14ac:dyDescent="0.25">
      <c r="A441" s="18">
        <v>45747</v>
      </c>
      <c r="B441" s="18">
        <v>45747</v>
      </c>
      <c r="C441" s="11" t="s">
        <v>265</v>
      </c>
      <c r="D441" s="11" t="s">
        <v>170</v>
      </c>
      <c r="E441" s="13" t="s">
        <v>171</v>
      </c>
      <c r="F441" s="13" t="s">
        <v>233</v>
      </c>
      <c r="G441" s="19"/>
      <c r="H441" s="19">
        <v>1225000</v>
      </c>
      <c r="I441" s="19">
        <v>-1225000</v>
      </c>
      <c r="J441" s="20">
        <v>24</v>
      </c>
    </row>
    <row r="442" spans="1:10" x14ac:dyDescent="0.25">
      <c r="A442" s="18">
        <v>45747</v>
      </c>
      <c r="B442" s="18">
        <v>45747</v>
      </c>
      <c r="C442" s="11" t="s">
        <v>265</v>
      </c>
      <c r="D442" s="11" t="s">
        <v>170</v>
      </c>
      <c r="E442" s="13" t="s">
        <v>171</v>
      </c>
      <c r="F442" s="13" t="s">
        <v>233</v>
      </c>
      <c r="G442" s="19">
        <v>1225000</v>
      </c>
      <c r="H442" s="19"/>
      <c r="I442" s="19">
        <v>1225000</v>
      </c>
      <c r="J442" s="20">
        <v>24</v>
      </c>
    </row>
    <row r="443" spans="1:10" x14ac:dyDescent="0.25">
      <c r="A443" s="18">
        <v>45747</v>
      </c>
      <c r="B443" s="18">
        <v>45747</v>
      </c>
      <c r="C443" s="11" t="s">
        <v>265</v>
      </c>
      <c r="D443" s="11" t="s">
        <v>145</v>
      </c>
      <c r="E443" s="13" t="s">
        <v>146</v>
      </c>
      <c r="F443" s="13" t="s">
        <v>233</v>
      </c>
      <c r="G443" s="19"/>
      <c r="H443" s="19">
        <v>1225000</v>
      </c>
      <c r="I443" s="19">
        <v>-1225000</v>
      </c>
      <c r="J443" s="20">
        <v>24</v>
      </c>
    </row>
    <row r="444" spans="1:10" x14ac:dyDescent="0.25">
      <c r="A444" s="18">
        <v>45747</v>
      </c>
      <c r="B444" s="18">
        <v>45747</v>
      </c>
      <c r="C444" s="11" t="s">
        <v>265</v>
      </c>
      <c r="D444" s="11" t="s">
        <v>209</v>
      </c>
      <c r="E444" s="13" t="s">
        <v>210</v>
      </c>
      <c r="F444" s="13" t="s">
        <v>234</v>
      </c>
      <c r="G444" s="19">
        <v>55000</v>
      </c>
      <c r="H444" s="19"/>
      <c r="I444" s="19">
        <v>55000</v>
      </c>
      <c r="J444" s="20">
        <v>24</v>
      </c>
    </row>
    <row r="445" spans="1:10" x14ac:dyDescent="0.25">
      <c r="A445" s="18">
        <v>45747</v>
      </c>
      <c r="B445" s="18">
        <v>45747</v>
      </c>
      <c r="C445" s="11" t="s">
        <v>265</v>
      </c>
      <c r="D445" s="11" t="s">
        <v>205</v>
      </c>
      <c r="E445" s="13" t="s">
        <v>206</v>
      </c>
      <c r="F445" s="13" t="s">
        <v>234</v>
      </c>
      <c r="G445" s="19">
        <v>48000</v>
      </c>
      <c r="H445" s="19"/>
      <c r="I445" s="19">
        <v>48000</v>
      </c>
      <c r="J445" s="20">
        <v>24</v>
      </c>
    </row>
    <row r="446" spans="1:10" x14ac:dyDescent="0.25">
      <c r="A446" s="18">
        <v>45747</v>
      </c>
      <c r="B446" s="18">
        <v>45747</v>
      </c>
      <c r="C446" s="11" t="s">
        <v>265</v>
      </c>
      <c r="D446" s="11" t="s">
        <v>207</v>
      </c>
      <c r="E446" s="13" t="s">
        <v>208</v>
      </c>
      <c r="F446" s="13" t="s">
        <v>234</v>
      </c>
      <c r="G446" s="19">
        <v>15000</v>
      </c>
      <c r="H446" s="19"/>
      <c r="I446" s="19">
        <v>15000</v>
      </c>
      <c r="J446" s="20">
        <v>24</v>
      </c>
    </row>
    <row r="447" spans="1:10" x14ac:dyDescent="0.25">
      <c r="A447" s="18">
        <v>45747</v>
      </c>
      <c r="B447" s="18">
        <v>45747</v>
      </c>
      <c r="C447" s="11" t="s">
        <v>265</v>
      </c>
      <c r="D447" s="11" t="s">
        <v>211</v>
      </c>
      <c r="E447" s="13" t="s">
        <v>212</v>
      </c>
      <c r="F447" s="13" t="s">
        <v>234</v>
      </c>
      <c r="G447" s="19">
        <v>7500</v>
      </c>
      <c r="H447" s="19"/>
      <c r="I447" s="19">
        <v>7500</v>
      </c>
      <c r="J447" s="20">
        <v>24</v>
      </c>
    </row>
    <row r="448" spans="1:10" x14ac:dyDescent="0.25">
      <c r="A448" s="18">
        <v>45747</v>
      </c>
      <c r="B448" s="18">
        <v>45747</v>
      </c>
      <c r="C448" s="11" t="s">
        <v>265</v>
      </c>
      <c r="D448" s="11" t="s">
        <v>215</v>
      </c>
      <c r="E448" s="13" t="s">
        <v>216</v>
      </c>
      <c r="F448" s="13" t="s">
        <v>234</v>
      </c>
      <c r="G448" s="19">
        <v>8000</v>
      </c>
      <c r="H448" s="19"/>
      <c r="I448" s="19">
        <v>8000</v>
      </c>
      <c r="J448" s="20">
        <v>24</v>
      </c>
    </row>
    <row r="449" spans="1:10" x14ac:dyDescent="0.25">
      <c r="A449" s="18">
        <v>45747</v>
      </c>
      <c r="B449" s="18">
        <v>45747</v>
      </c>
      <c r="C449" s="11" t="s">
        <v>265</v>
      </c>
      <c r="D449" s="11" t="s">
        <v>166</v>
      </c>
      <c r="E449" s="13" t="s">
        <v>167</v>
      </c>
      <c r="F449" s="13" t="s">
        <v>234</v>
      </c>
      <c r="G449" s="19"/>
      <c r="H449" s="19">
        <v>133500</v>
      </c>
      <c r="I449" s="19">
        <v>-133500</v>
      </c>
      <c r="J449" s="20">
        <v>24</v>
      </c>
    </row>
    <row r="450" spans="1:10" x14ac:dyDescent="0.25">
      <c r="A450" s="18">
        <v>45747</v>
      </c>
      <c r="B450" s="18">
        <v>45747</v>
      </c>
      <c r="C450" s="11" t="s">
        <v>265</v>
      </c>
      <c r="D450" s="11" t="s">
        <v>166</v>
      </c>
      <c r="E450" s="13" t="s">
        <v>167</v>
      </c>
      <c r="F450" s="13" t="s">
        <v>234</v>
      </c>
      <c r="G450" s="19">
        <v>133500</v>
      </c>
      <c r="H450" s="19"/>
      <c r="I450" s="19">
        <v>133500</v>
      </c>
      <c r="J450" s="20">
        <v>24</v>
      </c>
    </row>
    <row r="451" spans="1:10" x14ac:dyDescent="0.25">
      <c r="A451" s="18">
        <v>45747</v>
      </c>
      <c r="B451" s="18">
        <v>45747</v>
      </c>
      <c r="C451" s="11" t="s">
        <v>265</v>
      </c>
      <c r="D451" s="11" t="s">
        <v>145</v>
      </c>
      <c r="E451" s="13" t="s">
        <v>146</v>
      </c>
      <c r="F451" s="13" t="s">
        <v>234</v>
      </c>
      <c r="G451" s="19"/>
      <c r="H451" s="19">
        <v>133500</v>
      </c>
      <c r="I451" s="19">
        <v>-133500</v>
      </c>
      <c r="J451" s="20">
        <v>24</v>
      </c>
    </row>
    <row r="452" spans="1:10" x14ac:dyDescent="0.25">
      <c r="A452" s="18">
        <v>45747</v>
      </c>
      <c r="B452" s="18">
        <v>45747</v>
      </c>
      <c r="C452" s="11" t="s">
        <v>265</v>
      </c>
      <c r="D452" s="11" t="s">
        <v>151</v>
      </c>
      <c r="E452" s="13" t="s">
        <v>152</v>
      </c>
      <c r="F452" s="13" t="s">
        <v>252</v>
      </c>
      <c r="G452" s="19">
        <v>581378.23</v>
      </c>
      <c r="H452" s="19"/>
      <c r="I452" s="19">
        <v>581378.23</v>
      </c>
      <c r="J452" s="20">
        <v>24</v>
      </c>
    </row>
    <row r="453" spans="1:10" x14ac:dyDescent="0.25">
      <c r="A453" s="18">
        <v>45747</v>
      </c>
      <c r="B453" s="18">
        <v>45747</v>
      </c>
      <c r="C453" s="11" t="s">
        <v>265</v>
      </c>
      <c r="D453" s="11" t="s">
        <v>188</v>
      </c>
      <c r="E453" s="13" t="s">
        <v>189</v>
      </c>
      <c r="F453" s="13" t="s">
        <v>236</v>
      </c>
      <c r="G453" s="19"/>
      <c r="H453" s="19">
        <v>581378.23</v>
      </c>
      <c r="I453" s="19">
        <v>-581378.23</v>
      </c>
      <c r="J453" s="20">
        <v>24</v>
      </c>
    </row>
    <row r="454" spans="1:10" x14ac:dyDescent="0.25">
      <c r="A454" s="18">
        <v>45747</v>
      </c>
      <c r="B454" s="18">
        <v>45747</v>
      </c>
      <c r="C454" s="11" t="s">
        <v>265</v>
      </c>
      <c r="D454" s="11" t="s">
        <v>145</v>
      </c>
      <c r="E454" s="13" t="s">
        <v>146</v>
      </c>
      <c r="F454" s="13" t="s">
        <v>262</v>
      </c>
      <c r="G454" s="19"/>
      <c r="H454" s="19"/>
      <c r="I454" s="19">
        <v>0</v>
      </c>
      <c r="J454" s="20">
        <v>24</v>
      </c>
    </row>
    <row r="455" spans="1:10" x14ac:dyDescent="0.25">
      <c r="A455" s="18">
        <v>45747</v>
      </c>
      <c r="B455" s="18">
        <v>45747</v>
      </c>
      <c r="C455" s="11" t="s">
        <v>265</v>
      </c>
      <c r="D455" s="11" t="s">
        <v>217</v>
      </c>
      <c r="E455" s="13" t="s">
        <v>218</v>
      </c>
      <c r="F455" s="13" t="s">
        <v>262</v>
      </c>
      <c r="G455" s="19">
        <v>12000000</v>
      </c>
      <c r="H455" s="19"/>
      <c r="I455" s="19">
        <v>12000000</v>
      </c>
      <c r="J455" s="20">
        <v>24</v>
      </c>
    </row>
    <row r="456" spans="1:10" x14ac:dyDescent="0.25">
      <c r="A456" s="18">
        <v>45747</v>
      </c>
      <c r="B456" s="18">
        <v>45747</v>
      </c>
      <c r="C456" s="11" t="s">
        <v>265</v>
      </c>
      <c r="D456" s="11" t="s">
        <v>151</v>
      </c>
      <c r="E456" s="13" t="s">
        <v>152</v>
      </c>
      <c r="F456" s="13" t="s">
        <v>262</v>
      </c>
      <c r="G456" s="19"/>
      <c r="H456" s="19">
        <v>12000000</v>
      </c>
      <c r="I456" s="19">
        <v>-12000000</v>
      </c>
      <c r="J456" s="20">
        <v>24</v>
      </c>
    </row>
    <row r="457" spans="1:10" x14ac:dyDescent="0.25">
      <c r="A457" s="18">
        <v>45747</v>
      </c>
      <c r="B457" s="18">
        <v>45747</v>
      </c>
      <c r="C457" s="11" t="s">
        <v>265</v>
      </c>
      <c r="D457" s="11" t="s">
        <v>153</v>
      </c>
      <c r="E457" s="13" t="s">
        <v>154</v>
      </c>
      <c r="F457" s="13" t="s">
        <v>240</v>
      </c>
      <c r="G457" s="19">
        <v>17000000</v>
      </c>
      <c r="H457" s="19"/>
      <c r="I457" s="19">
        <v>17000000</v>
      </c>
      <c r="J457" s="20">
        <v>24</v>
      </c>
    </row>
    <row r="458" spans="1:10" x14ac:dyDescent="0.25">
      <c r="A458" s="18">
        <v>45747</v>
      </c>
      <c r="B458" s="18">
        <v>45747</v>
      </c>
      <c r="C458" s="11" t="s">
        <v>265</v>
      </c>
      <c r="D458" s="11" t="s">
        <v>219</v>
      </c>
      <c r="E458" s="13" t="s">
        <v>220</v>
      </c>
      <c r="F458" s="13" t="s">
        <v>240</v>
      </c>
      <c r="G458" s="19"/>
      <c r="H458" s="19">
        <v>17000000</v>
      </c>
      <c r="I458" s="19">
        <v>-17000000</v>
      </c>
      <c r="J458" s="20">
        <v>24</v>
      </c>
    </row>
    <row r="459" spans="1:10" x14ac:dyDescent="0.25">
      <c r="A459" s="18">
        <v>45838</v>
      </c>
      <c r="B459" s="18">
        <v>45838</v>
      </c>
      <c r="C459" s="11" t="s">
        <v>266</v>
      </c>
      <c r="D459" s="11" t="s">
        <v>145</v>
      </c>
      <c r="E459" s="13" t="s">
        <v>146</v>
      </c>
      <c r="F459" s="13" t="s">
        <v>231</v>
      </c>
      <c r="G459" s="19">
        <v>1300000</v>
      </c>
      <c r="H459" s="19"/>
      <c r="I459" s="19">
        <v>1300000</v>
      </c>
      <c r="J459" s="20">
        <v>25</v>
      </c>
    </row>
    <row r="460" spans="1:10" x14ac:dyDescent="0.25">
      <c r="A460" s="18">
        <v>45838</v>
      </c>
      <c r="B460" s="18">
        <v>45838</v>
      </c>
      <c r="C460" s="11" t="s">
        <v>266</v>
      </c>
      <c r="D460" s="11" t="s">
        <v>176</v>
      </c>
      <c r="E460" s="13" t="s">
        <v>177</v>
      </c>
      <c r="F460" s="13" t="s">
        <v>231</v>
      </c>
      <c r="G460" s="19"/>
      <c r="H460" s="19">
        <v>1300000</v>
      </c>
      <c r="I460" s="19">
        <v>-1300000</v>
      </c>
      <c r="J460" s="20">
        <v>25</v>
      </c>
    </row>
    <row r="461" spans="1:10" x14ac:dyDescent="0.25">
      <c r="A461" s="18">
        <v>45838</v>
      </c>
      <c r="B461" s="18">
        <v>45838</v>
      </c>
      <c r="C461" s="11" t="s">
        <v>266</v>
      </c>
      <c r="D461" s="11" t="s">
        <v>196</v>
      </c>
      <c r="E461" s="13" t="s">
        <v>197</v>
      </c>
      <c r="F461" s="13" t="s">
        <v>233</v>
      </c>
      <c r="G461" s="19">
        <v>1225000</v>
      </c>
      <c r="H461" s="19"/>
      <c r="I461" s="19">
        <v>1225000</v>
      </c>
      <c r="J461" s="20">
        <v>25</v>
      </c>
    </row>
    <row r="462" spans="1:10" x14ac:dyDescent="0.25">
      <c r="A462" s="18">
        <v>45838</v>
      </c>
      <c r="B462" s="18">
        <v>45838</v>
      </c>
      <c r="C462" s="11" t="s">
        <v>266</v>
      </c>
      <c r="D462" s="11" t="s">
        <v>170</v>
      </c>
      <c r="E462" s="13" t="s">
        <v>171</v>
      </c>
      <c r="F462" s="13" t="s">
        <v>233</v>
      </c>
      <c r="G462" s="19"/>
      <c r="H462" s="19">
        <v>1225000</v>
      </c>
      <c r="I462" s="19">
        <v>-1225000</v>
      </c>
      <c r="J462" s="20">
        <v>25</v>
      </c>
    </row>
    <row r="463" spans="1:10" x14ac:dyDescent="0.25">
      <c r="A463" s="18">
        <v>45838</v>
      </c>
      <c r="B463" s="18">
        <v>45838</v>
      </c>
      <c r="C463" s="11" t="s">
        <v>266</v>
      </c>
      <c r="D463" s="11" t="s">
        <v>170</v>
      </c>
      <c r="E463" s="13" t="s">
        <v>171</v>
      </c>
      <c r="F463" s="13" t="s">
        <v>233</v>
      </c>
      <c r="G463" s="19">
        <v>1225000</v>
      </c>
      <c r="H463" s="19"/>
      <c r="I463" s="19">
        <v>1225000</v>
      </c>
      <c r="J463" s="20">
        <v>25</v>
      </c>
    </row>
    <row r="464" spans="1:10" x14ac:dyDescent="0.25">
      <c r="A464" s="18">
        <v>45838</v>
      </c>
      <c r="B464" s="18">
        <v>45838</v>
      </c>
      <c r="C464" s="11" t="s">
        <v>266</v>
      </c>
      <c r="D464" s="11" t="s">
        <v>145</v>
      </c>
      <c r="E464" s="13" t="s">
        <v>146</v>
      </c>
      <c r="F464" s="13" t="s">
        <v>233</v>
      </c>
      <c r="G464" s="19"/>
      <c r="H464" s="19">
        <v>1225000</v>
      </c>
      <c r="I464" s="19">
        <v>-1225000</v>
      </c>
      <c r="J464" s="20">
        <v>25</v>
      </c>
    </row>
    <row r="465" spans="1:10" x14ac:dyDescent="0.25">
      <c r="A465" s="18">
        <v>45838</v>
      </c>
      <c r="B465" s="18">
        <v>45838</v>
      </c>
      <c r="C465" s="11" t="s">
        <v>266</v>
      </c>
      <c r="D465" s="11" t="s">
        <v>209</v>
      </c>
      <c r="E465" s="13" t="s">
        <v>210</v>
      </c>
      <c r="F465" s="13" t="s">
        <v>234</v>
      </c>
      <c r="G465" s="19">
        <v>55000</v>
      </c>
      <c r="H465" s="19"/>
      <c r="I465" s="19">
        <v>55000</v>
      </c>
      <c r="J465" s="20">
        <v>25</v>
      </c>
    </row>
    <row r="466" spans="1:10" x14ac:dyDescent="0.25">
      <c r="A466" s="18">
        <v>45838</v>
      </c>
      <c r="B466" s="18">
        <v>45838</v>
      </c>
      <c r="C466" s="11" t="s">
        <v>266</v>
      </c>
      <c r="D466" s="11" t="s">
        <v>205</v>
      </c>
      <c r="E466" s="13" t="s">
        <v>206</v>
      </c>
      <c r="F466" s="13" t="s">
        <v>234</v>
      </c>
      <c r="G466" s="19">
        <v>48000</v>
      </c>
      <c r="H466" s="19"/>
      <c r="I466" s="19">
        <v>48000</v>
      </c>
      <c r="J466" s="20">
        <v>25</v>
      </c>
    </row>
    <row r="467" spans="1:10" x14ac:dyDescent="0.25">
      <c r="A467" s="18">
        <v>45838</v>
      </c>
      <c r="B467" s="18">
        <v>45838</v>
      </c>
      <c r="C467" s="11" t="s">
        <v>266</v>
      </c>
      <c r="D467" s="11" t="s">
        <v>207</v>
      </c>
      <c r="E467" s="13" t="s">
        <v>208</v>
      </c>
      <c r="F467" s="13" t="s">
        <v>234</v>
      </c>
      <c r="G467" s="19">
        <v>15000</v>
      </c>
      <c r="H467" s="19"/>
      <c r="I467" s="19">
        <v>15000</v>
      </c>
      <c r="J467" s="20">
        <v>25</v>
      </c>
    </row>
    <row r="468" spans="1:10" x14ac:dyDescent="0.25">
      <c r="A468" s="18">
        <v>45838</v>
      </c>
      <c r="B468" s="18">
        <v>45838</v>
      </c>
      <c r="C468" s="11" t="s">
        <v>266</v>
      </c>
      <c r="D468" s="11" t="s">
        <v>211</v>
      </c>
      <c r="E468" s="13" t="s">
        <v>212</v>
      </c>
      <c r="F468" s="13" t="s">
        <v>234</v>
      </c>
      <c r="G468" s="19">
        <v>7500</v>
      </c>
      <c r="H468" s="19"/>
      <c r="I468" s="19">
        <v>7500</v>
      </c>
      <c r="J468" s="20">
        <v>25</v>
      </c>
    </row>
    <row r="469" spans="1:10" x14ac:dyDescent="0.25">
      <c r="A469" s="18">
        <v>45838</v>
      </c>
      <c r="B469" s="18">
        <v>45838</v>
      </c>
      <c r="C469" s="11" t="s">
        <v>266</v>
      </c>
      <c r="D469" s="11" t="s">
        <v>215</v>
      </c>
      <c r="E469" s="13" t="s">
        <v>216</v>
      </c>
      <c r="F469" s="13" t="s">
        <v>234</v>
      </c>
      <c r="G469" s="19">
        <v>8000</v>
      </c>
      <c r="H469" s="19"/>
      <c r="I469" s="19">
        <v>8000</v>
      </c>
      <c r="J469" s="20">
        <v>25</v>
      </c>
    </row>
    <row r="470" spans="1:10" x14ac:dyDescent="0.25">
      <c r="A470" s="18">
        <v>45838</v>
      </c>
      <c r="B470" s="18">
        <v>45838</v>
      </c>
      <c r="C470" s="11" t="s">
        <v>266</v>
      </c>
      <c r="D470" s="11" t="s">
        <v>166</v>
      </c>
      <c r="E470" s="13" t="s">
        <v>167</v>
      </c>
      <c r="F470" s="13" t="s">
        <v>234</v>
      </c>
      <c r="G470" s="19"/>
      <c r="H470" s="19">
        <v>133500</v>
      </c>
      <c r="I470" s="19">
        <v>-133500</v>
      </c>
      <c r="J470" s="20">
        <v>25</v>
      </c>
    </row>
    <row r="471" spans="1:10" x14ac:dyDescent="0.25">
      <c r="A471" s="18">
        <v>45838</v>
      </c>
      <c r="B471" s="18">
        <v>45838</v>
      </c>
      <c r="C471" s="11" t="s">
        <v>266</v>
      </c>
      <c r="D471" s="11" t="s">
        <v>166</v>
      </c>
      <c r="E471" s="13" t="s">
        <v>167</v>
      </c>
      <c r="F471" s="13" t="s">
        <v>234</v>
      </c>
      <c r="G471" s="19">
        <v>133500</v>
      </c>
      <c r="H471" s="19"/>
      <c r="I471" s="19">
        <v>133500</v>
      </c>
      <c r="J471" s="20">
        <v>25</v>
      </c>
    </row>
    <row r="472" spans="1:10" x14ac:dyDescent="0.25">
      <c r="A472" s="18">
        <v>45838</v>
      </c>
      <c r="B472" s="18">
        <v>45838</v>
      </c>
      <c r="C472" s="11" t="s">
        <v>266</v>
      </c>
      <c r="D472" s="11" t="s">
        <v>145</v>
      </c>
      <c r="E472" s="13" t="s">
        <v>146</v>
      </c>
      <c r="F472" s="13" t="s">
        <v>234</v>
      </c>
      <c r="G472" s="19"/>
      <c r="H472" s="19">
        <v>133500</v>
      </c>
      <c r="I472" s="19">
        <v>-133500</v>
      </c>
      <c r="J472" s="20">
        <v>25</v>
      </c>
    </row>
    <row r="473" spans="1:10" x14ac:dyDescent="0.25">
      <c r="A473" s="18">
        <v>45838</v>
      </c>
      <c r="B473" s="18">
        <v>45838</v>
      </c>
      <c r="C473" s="11" t="s">
        <v>266</v>
      </c>
      <c r="D473" s="11" t="s">
        <v>151</v>
      </c>
      <c r="E473" s="13" t="s">
        <v>152</v>
      </c>
      <c r="F473" s="13" t="s">
        <v>252</v>
      </c>
      <c r="G473" s="19">
        <v>598819.56999999995</v>
      </c>
      <c r="H473" s="19"/>
      <c r="I473" s="19">
        <v>598819.56999999995</v>
      </c>
      <c r="J473" s="20">
        <v>25</v>
      </c>
    </row>
    <row r="474" spans="1:10" x14ac:dyDescent="0.25">
      <c r="A474" s="18">
        <v>45838</v>
      </c>
      <c r="B474" s="18">
        <v>45838</v>
      </c>
      <c r="C474" s="11" t="s">
        <v>266</v>
      </c>
      <c r="D474" s="11" t="s">
        <v>188</v>
      </c>
      <c r="E474" s="13" t="s">
        <v>189</v>
      </c>
      <c r="F474" s="13" t="s">
        <v>236</v>
      </c>
      <c r="G474" s="19"/>
      <c r="H474" s="19">
        <v>598819.56999999995</v>
      </c>
      <c r="I474" s="19">
        <v>-598819.56999999995</v>
      </c>
      <c r="J474" s="20">
        <v>25</v>
      </c>
    </row>
    <row r="475" spans="1:10" x14ac:dyDescent="0.25">
      <c r="A475" s="18">
        <v>45838</v>
      </c>
      <c r="B475" s="18">
        <v>45838</v>
      </c>
      <c r="C475" s="11" t="s">
        <v>266</v>
      </c>
      <c r="D475" s="11" t="s">
        <v>145</v>
      </c>
      <c r="E475" s="13" t="s">
        <v>146</v>
      </c>
      <c r="F475" s="13" t="s">
        <v>262</v>
      </c>
      <c r="G475" s="19">
        <v>28800000</v>
      </c>
      <c r="H475" s="19"/>
      <c r="I475" s="19">
        <v>28800000</v>
      </c>
      <c r="J475" s="20">
        <v>25</v>
      </c>
    </row>
    <row r="476" spans="1:10" x14ac:dyDescent="0.25">
      <c r="A476" s="18">
        <v>45838</v>
      </c>
      <c r="B476" s="18">
        <v>45838</v>
      </c>
      <c r="C476" s="11" t="s">
        <v>266</v>
      </c>
      <c r="D476" s="11" t="s">
        <v>151</v>
      </c>
      <c r="E476" s="13" t="s">
        <v>152</v>
      </c>
      <c r="F476" s="13" t="s">
        <v>262</v>
      </c>
      <c r="G476" s="19"/>
      <c r="H476" s="19">
        <v>12000000</v>
      </c>
      <c r="I476" s="19">
        <v>-12000000</v>
      </c>
      <c r="J476" s="20">
        <v>25</v>
      </c>
    </row>
    <row r="477" spans="1:10" x14ac:dyDescent="0.25">
      <c r="A477" s="18">
        <v>45838</v>
      </c>
      <c r="B477" s="18">
        <v>45838</v>
      </c>
      <c r="C477" s="11" t="s">
        <v>266</v>
      </c>
      <c r="D477" s="11" t="s">
        <v>217</v>
      </c>
      <c r="E477" s="13" t="s">
        <v>218</v>
      </c>
      <c r="F477" s="13" t="s">
        <v>262</v>
      </c>
      <c r="G477" s="19"/>
      <c r="H477" s="19">
        <v>16800000</v>
      </c>
      <c r="I477" s="19">
        <v>-16800000</v>
      </c>
      <c r="J477" s="20">
        <v>25</v>
      </c>
    </row>
    <row r="478" spans="1:10" x14ac:dyDescent="0.25">
      <c r="A478" s="18">
        <v>45838</v>
      </c>
      <c r="B478" s="18">
        <v>45838</v>
      </c>
      <c r="C478" s="11" t="s">
        <v>266</v>
      </c>
      <c r="D478" s="11" t="s">
        <v>219</v>
      </c>
      <c r="E478" s="13" t="s">
        <v>220</v>
      </c>
      <c r="F478" s="13" t="s">
        <v>240</v>
      </c>
      <c r="G478" s="19">
        <v>16800000</v>
      </c>
      <c r="H478" s="19"/>
      <c r="I478" s="19">
        <v>16800000</v>
      </c>
      <c r="J478" s="20">
        <v>25</v>
      </c>
    </row>
    <row r="479" spans="1:10" x14ac:dyDescent="0.25">
      <c r="A479" s="18">
        <v>45838</v>
      </c>
      <c r="B479" s="18">
        <v>45838</v>
      </c>
      <c r="C479" s="11" t="s">
        <v>266</v>
      </c>
      <c r="D479" s="11" t="s">
        <v>153</v>
      </c>
      <c r="E479" s="13" t="s">
        <v>154</v>
      </c>
      <c r="F479" s="13" t="s">
        <v>240</v>
      </c>
      <c r="G479" s="19"/>
      <c r="H479" s="19">
        <v>16800000</v>
      </c>
      <c r="I479" s="19">
        <v>-16800000</v>
      </c>
      <c r="J479" s="20">
        <v>25</v>
      </c>
    </row>
    <row r="480" spans="1:10" x14ac:dyDescent="0.25">
      <c r="A480" s="18">
        <v>45838</v>
      </c>
      <c r="B480" s="18">
        <v>45838</v>
      </c>
      <c r="C480" s="11" t="s">
        <v>266</v>
      </c>
      <c r="D480" s="11" t="s">
        <v>183</v>
      </c>
      <c r="E480" s="13" t="s">
        <v>184</v>
      </c>
      <c r="F480" s="13" t="s">
        <v>263</v>
      </c>
      <c r="G480" s="19">
        <v>26000000</v>
      </c>
      <c r="H480" s="19"/>
      <c r="I480" s="19">
        <v>26000000</v>
      </c>
      <c r="J480" s="20">
        <v>25</v>
      </c>
    </row>
    <row r="481" spans="1:10" x14ac:dyDescent="0.25">
      <c r="A481" s="18">
        <v>45838</v>
      </c>
      <c r="B481" s="18">
        <v>45838</v>
      </c>
      <c r="C481" s="11" t="s">
        <v>266</v>
      </c>
      <c r="D481" s="11" t="s">
        <v>145</v>
      </c>
      <c r="E481" s="13" t="s">
        <v>146</v>
      </c>
      <c r="F481" s="13" t="s">
        <v>263</v>
      </c>
      <c r="G481" s="19"/>
      <c r="H481" s="19">
        <v>26000000</v>
      </c>
      <c r="I481" s="19">
        <v>-26000000</v>
      </c>
      <c r="J481" s="20">
        <v>25</v>
      </c>
    </row>
    <row r="482" spans="1:10" x14ac:dyDescent="0.25">
      <c r="A482" s="18">
        <v>45930</v>
      </c>
      <c r="B482" s="18">
        <v>45930</v>
      </c>
      <c r="C482" s="11" t="s">
        <v>267</v>
      </c>
      <c r="D482" s="11" t="s">
        <v>196</v>
      </c>
      <c r="E482" s="13" t="s">
        <v>197</v>
      </c>
      <c r="F482" s="13" t="s">
        <v>233</v>
      </c>
      <c r="G482" s="19">
        <v>530000</v>
      </c>
      <c r="H482" s="19"/>
      <c r="I482" s="19">
        <v>530000</v>
      </c>
      <c r="J482" s="20">
        <v>26</v>
      </c>
    </row>
    <row r="483" spans="1:10" x14ac:dyDescent="0.25">
      <c r="A483" s="18">
        <v>45930</v>
      </c>
      <c r="B483" s="18">
        <v>45930</v>
      </c>
      <c r="C483" s="11" t="s">
        <v>267</v>
      </c>
      <c r="D483" s="11" t="s">
        <v>170</v>
      </c>
      <c r="E483" s="13" t="s">
        <v>171</v>
      </c>
      <c r="F483" s="13" t="s">
        <v>233</v>
      </c>
      <c r="G483" s="19"/>
      <c r="H483" s="19">
        <v>530000</v>
      </c>
      <c r="I483" s="19">
        <v>-530000</v>
      </c>
      <c r="J483" s="20">
        <v>26</v>
      </c>
    </row>
    <row r="484" spans="1:10" x14ac:dyDescent="0.25">
      <c r="A484" s="18">
        <v>45930</v>
      </c>
      <c r="B484" s="18">
        <v>45930</v>
      </c>
      <c r="C484" s="11" t="s">
        <v>267</v>
      </c>
      <c r="D484" s="11" t="s">
        <v>170</v>
      </c>
      <c r="E484" s="13" t="s">
        <v>171</v>
      </c>
      <c r="F484" s="13" t="s">
        <v>233</v>
      </c>
      <c r="G484" s="19">
        <v>530000</v>
      </c>
      <c r="H484" s="19"/>
      <c r="I484" s="19">
        <v>530000</v>
      </c>
      <c r="J484" s="20">
        <v>26</v>
      </c>
    </row>
    <row r="485" spans="1:10" x14ac:dyDescent="0.25">
      <c r="A485" s="18">
        <v>45930</v>
      </c>
      <c r="B485" s="18">
        <v>45930</v>
      </c>
      <c r="C485" s="11" t="s">
        <v>267</v>
      </c>
      <c r="D485" s="11" t="s">
        <v>145</v>
      </c>
      <c r="E485" s="13" t="s">
        <v>146</v>
      </c>
      <c r="F485" s="13" t="s">
        <v>233</v>
      </c>
      <c r="G485" s="19"/>
      <c r="H485" s="19">
        <v>530000</v>
      </c>
      <c r="I485" s="19">
        <v>-530000</v>
      </c>
      <c r="J485" s="20">
        <v>26</v>
      </c>
    </row>
    <row r="486" spans="1:10" x14ac:dyDescent="0.25">
      <c r="A486" s="18">
        <v>45930</v>
      </c>
      <c r="B486" s="18">
        <v>45930</v>
      </c>
      <c r="C486" s="11" t="s">
        <v>267</v>
      </c>
      <c r="D486" s="11" t="s">
        <v>209</v>
      </c>
      <c r="E486" s="13" t="s">
        <v>210</v>
      </c>
      <c r="F486" s="13" t="s">
        <v>234</v>
      </c>
      <c r="G486" s="19">
        <v>55000</v>
      </c>
      <c r="H486" s="19"/>
      <c r="I486" s="19">
        <v>55000</v>
      </c>
      <c r="J486" s="20">
        <v>26</v>
      </c>
    </row>
    <row r="487" spans="1:10" x14ac:dyDescent="0.25">
      <c r="A487" s="18">
        <v>45930</v>
      </c>
      <c r="B487" s="18">
        <v>45930</v>
      </c>
      <c r="C487" s="11" t="s">
        <v>267</v>
      </c>
      <c r="D487" s="11" t="s">
        <v>205</v>
      </c>
      <c r="E487" s="13" t="s">
        <v>206</v>
      </c>
      <c r="F487" s="13" t="s">
        <v>234</v>
      </c>
      <c r="G487" s="19">
        <v>48000</v>
      </c>
      <c r="H487" s="19"/>
      <c r="I487" s="19">
        <v>48000</v>
      </c>
      <c r="J487" s="20">
        <v>26</v>
      </c>
    </row>
    <row r="488" spans="1:10" x14ac:dyDescent="0.25">
      <c r="A488" s="18">
        <v>45930</v>
      </c>
      <c r="B488" s="18">
        <v>45930</v>
      </c>
      <c r="C488" s="11" t="s">
        <v>267</v>
      </c>
      <c r="D488" s="11" t="s">
        <v>207</v>
      </c>
      <c r="E488" s="13" t="s">
        <v>208</v>
      </c>
      <c r="F488" s="13" t="s">
        <v>234</v>
      </c>
      <c r="G488" s="19">
        <v>15000</v>
      </c>
      <c r="H488" s="19"/>
      <c r="I488" s="19">
        <v>15000</v>
      </c>
      <c r="J488" s="20">
        <v>26</v>
      </c>
    </row>
    <row r="489" spans="1:10" x14ac:dyDescent="0.25">
      <c r="A489" s="18">
        <v>45930</v>
      </c>
      <c r="B489" s="18">
        <v>45930</v>
      </c>
      <c r="C489" s="11" t="s">
        <v>267</v>
      </c>
      <c r="D489" s="11" t="s">
        <v>211</v>
      </c>
      <c r="E489" s="13" t="s">
        <v>212</v>
      </c>
      <c r="F489" s="13" t="s">
        <v>234</v>
      </c>
      <c r="G489" s="19">
        <v>7500</v>
      </c>
      <c r="H489" s="19"/>
      <c r="I489" s="19">
        <v>7500</v>
      </c>
      <c r="J489" s="20">
        <v>26</v>
      </c>
    </row>
    <row r="490" spans="1:10" x14ac:dyDescent="0.25">
      <c r="A490" s="18">
        <v>45930</v>
      </c>
      <c r="B490" s="18">
        <v>45930</v>
      </c>
      <c r="C490" s="11" t="s">
        <v>267</v>
      </c>
      <c r="D490" s="11" t="s">
        <v>215</v>
      </c>
      <c r="E490" s="13" t="s">
        <v>216</v>
      </c>
      <c r="F490" s="13" t="s">
        <v>234</v>
      </c>
      <c r="G490" s="19">
        <v>8000</v>
      </c>
      <c r="H490" s="19"/>
      <c r="I490" s="19">
        <v>8000</v>
      </c>
      <c r="J490" s="20">
        <v>26</v>
      </c>
    </row>
    <row r="491" spans="1:10" x14ac:dyDescent="0.25">
      <c r="A491" s="18">
        <v>45930</v>
      </c>
      <c r="B491" s="18">
        <v>45930</v>
      </c>
      <c r="C491" s="11" t="s">
        <v>267</v>
      </c>
      <c r="D491" s="11" t="s">
        <v>166</v>
      </c>
      <c r="E491" s="13" t="s">
        <v>167</v>
      </c>
      <c r="F491" s="13" t="s">
        <v>234</v>
      </c>
      <c r="G491" s="19"/>
      <c r="H491" s="19">
        <v>133500</v>
      </c>
      <c r="I491" s="19">
        <v>-133500</v>
      </c>
      <c r="J491" s="20">
        <v>26</v>
      </c>
    </row>
    <row r="492" spans="1:10" x14ac:dyDescent="0.25">
      <c r="A492" s="18">
        <v>45930</v>
      </c>
      <c r="B492" s="18">
        <v>45930</v>
      </c>
      <c r="C492" s="11" t="s">
        <v>267</v>
      </c>
      <c r="D492" s="11" t="s">
        <v>166</v>
      </c>
      <c r="E492" s="13" t="s">
        <v>167</v>
      </c>
      <c r="F492" s="13" t="s">
        <v>234</v>
      </c>
      <c r="G492" s="19">
        <v>133500</v>
      </c>
      <c r="H492" s="19"/>
      <c r="I492" s="19">
        <v>133500</v>
      </c>
      <c r="J492" s="20">
        <v>26</v>
      </c>
    </row>
    <row r="493" spans="1:10" x14ac:dyDescent="0.25">
      <c r="A493" s="18">
        <v>45930</v>
      </c>
      <c r="B493" s="18">
        <v>45930</v>
      </c>
      <c r="C493" s="11" t="s">
        <v>267</v>
      </c>
      <c r="D493" s="11" t="s">
        <v>145</v>
      </c>
      <c r="E493" s="13" t="s">
        <v>146</v>
      </c>
      <c r="F493" s="13" t="s">
        <v>234</v>
      </c>
      <c r="G493" s="19"/>
      <c r="H493" s="19">
        <v>133500</v>
      </c>
      <c r="I493" s="19">
        <v>-133500</v>
      </c>
      <c r="J493" s="20">
        <v>26</v>
      </c>
    </row>
    <row r="494" spans="1:10" x14ac:dyDescent="0.25">
      <c r="A494" s="18">
        <v>45930</v>
      </c>
      <c r="B494" s="18">
        <v>45930</v>
      </c>
      <c r="C494" s="11" t="s">
        <v>267</v>
      </c>
      <c r="D494" s="11" t="s">
        <v>151</v>
      </c>
      <c r="E494" s="13" t="s">
        <v>152</v>
      </c>
      <c r="F494" s="13" t="s">
        <v>252</v>
      </c>
      <c r="G494" s="19">
        <v>616784.16</v>
      </c>
      <c r="H494" s="19"/>
      <c r="I494" s="19">
        <v>616784.16</v>
      </c>
      <c r="J494" s="20">
        <v>26</v>
      </c>
    </row>
    <row r="495" spans="1:10" x14ac:dyDescent="0.25">
      <c r="A495" s="18">
        <v>45930</v>
      </c>
      <c r="B495" s="18">
        <v>45930</v>
      </c>
      <c r="C495" s="11" t="s">
        <v>267</v>
      </c>
      <c r="D495" s="11" t="s">
        <v>188</v>
      </c>
      <c r="E495" s="13" t="s">
        <v>189</v>
      </c>
      <c r="F495" s="13" t="s">
        <v>236</v>
      </c>
      <c r="G495" s="19"/>
      <c r="H495" s="19">
        <v>616784.16</v>
      </c>
      <c r="I495" s="19">
        <v>-616784.16</v>
      </c>
      <c r="J495" s="20">
        <v>26</v>
      </c>
    </row>
    <row r="496" spans="1:10" x14ac:dyDescent="0.25">
      <c r="A496" s="18">
        <v>46022</v>
      </c>
      <c r="B496" s="18">
        <v>46022</v>
      </c>
      <c r="C496" s="11" t="s">
        <v>268</v>
      </c>
      <c r="D496" s="11" t="s">
        <v>196</v>
      </c>
      <c r="E496" s="13" t="s">
        <v>197</v>
      </c>
      <c r="F496" s="13" t="s">
        <v>233</v>
      </c>
      <c r="G496" s="19">
        <v>530000</v>
      </c>
      <c r="H496" s="19"/>
      <c r="I496" s="19">
        <v>530000</v>
      </c>
      <c r="J496" s="20">
        <v>27</v>
      </c>
    </row>
    <row r="497" spans="1:10" x14ac:dyDescent="0.25">
      <c r="A497" s="18">
        <v>46022</v>
      </c>
      <c r="B497" s="18">
        <v>46022</v>
      </c>
      <c r="C497" s="11" t="s">
        <v>268</v>
      </c>
      <c r="D497" s="11" t="s">
        <v>170</v>
      </c>
      <c r="E497" s="13" t="s">
        <v>171</v>
      </c>
      <c r="F497" s="13" t="s">
        <v>233</v>
      </c>
      <c r="G497" s="19"/>
      <c r="H497" s="19">
        <v>530000</v>
      </c>
      <c r="I497" s="19">
        <v>-530000</v>
      </c>
      <c r="J497" s="20">
        <v>27</v>
      </c>
    </row>
    <row r="498" spans="1:10" x14ac:dyDescent="0.25">
      <c r="A498" s="18">
        <v>46022</v>
      </c>
      <c r="B498" s="18">
        <v>46022</v>
      </c>
      <c r="C498" s="11" t="s">
        <v>268</v>
      </c>
      <c r="D498" s="11" t="s">
        <v>170</v>
      </c>
      <c r="E498" s="13" t="s">
        <v>171</v>
      </c>
      <c r="F498" s="13" t="s">
        <v>233</v>
      </c>
      <c r="G498" s="19">
        <v>530000</v>
      </c>
      <c r="H498" s="19"/>
      <c r="I498" s="19">
        <v>530000</v>
      </c>
      <c r="J498" s="20">
        <v>27</v>
      </c>
    </row>
    <row r="499" spans="1:10" x14ac:dyDescent="0.25">
      <c r="A499" s="18">
        <v>46022</v>
      </c>
      <c r="B499" s="18">
        <v>46022</v>
      </c>
      <c r="C499" s="11" t="s">
        <v>268</v>
      </c>
      <c r="D499" s="11" t="s">
        <v>145</v>
      </c>
      <c r="E499" s="13" t="s">
        <v>146</v>
      </c>
      <c r="F499" s="13" t="s">
        <v>233</v>
      </c>
      <c r="G499" s="19"/>
      <c r="H499" s="19">
        <v>530000</v>
      </c>
      <c r="I499" s="19">
        <v>-530000</v>
      </c>
      <c r="J499" s="20">
        <v>27</v>
      </c>
    </row>
    <row r="500" spans="1:10" x14ac:dyDescent="0.25">
      <c r="A500" s="18">
        <v>46022</v>
      </c>
      <c r="B500" s="18">
        <v>46022</v>
      </c>
      <c r="C500" s="11" t="s">
        <v>268</v>
      </c>
      <c r="D500" s="11" t="s">
        <v>209</v>
      </c>
      <c r="E500" s="13" t="s">
        <v>210</v>
      </c>
      <c r="F500" s="13" t="s">
        <v>234</v>
      </c>
      <c r="G500" s="19">
        <v>55000</v>
      </c>
      <c r="H500" s="19"/>
      <c r="I500" s="19">
        <v>55000</v>
      </c>
      <c r="J500" s="20">
        <v>27</v>
      </c>
    </row>
    <row r="501" spans="1:10" x14ac:dyDescent="0.25">
      <c r="A501" s="18">
        <v>46022</v>
      </c>
      <c r="B501" s="18">
        <v>46022</v>
      </c>
      <c r="C501" s="11" t="s">
        <v>268</v>
      </c>
      <c r="D501" s="11" t="s">
        <v>205</v>
      </c>
      <c r="E501" s="13" t="s">
        <v>206</v>
      </c>
      <c r="F501" s="13" t="s">
        <v>234</v>
      </c>
      <c r="G501" s="19">
        <v>48000</v>
      </c>
      <c r="H501" s="19"/>
      <c r="I501" s="19">
        <v>48000</v>
      </c>
      <c r="J501" s="20">
        <v>27</v>
      </c>
    </row>
    <row r="502" spans="1:10" x14ac:dyDescent="0.25">
      <c r="A502" s="18">
        <v>46022</v>
      </c>
      <c r="B502" s="18">
        <v>46022</v>
      </c>
      <c r="C502" s="11" t="s">
        <v>268</v>
      </c>
      <c r="D502" s="11" t="s">
        <v>207</v>
      </c>
      <c r="E502" s="13" t="s">
        <v>208</v>
      </c>
      <c r="F502" s="13" t="s">
        <v>234</v>
      </c>
      <c r="G502" s="19">
        <v>15000</v>
      </c>
      <c r="H502" s="19"/>
      <c r="I502" s="19">
        <v>15000</v>
      </c>
      <c r="J502" s="20">
        <v>27</v>
      </c>
    </row>
    <row r="503" spans="1:10" x14ac:dyDescent="0.25">
      <c r="A503" s="18">
        <v>46022</v>
      </c>
      <c r="B503" s="18">
        <v>46022</v>
      </c>
      <c r="C503" s="11" t="s">
        <v>268</v>
      </c>
      <c r="D503" s="11" t="s">
        <v>211</v>
      </c>
      <c r="E503" s="13" t="s">
        <v>212</v>
      </c>
      <c r="F503" s="13" t="s">
        <v>234</v>
      </c>
      <c r="G503" s="19">
        <v>7500</v>
      </c>
      <c r="H503" s="19"/>
      <c r="I503" s="19">
        <v>7500</v>
      </c>
      <c r="J503" s="20">
        <v>27</v>
      </c>
    </row>
    <row r="504" spans="1:10" x14ac:dyDescent="0.25">
      <c r="A504" s="18">
        <v>46022</v>
      </c>
      <c r="B504" s="18">
        <v>46022</v>
      </c>
      <c r="C504" s="11" t="s">
        <v>268</v>
      </c>
      <c r="D504" s="11" t="s">
        <v>215</v>
      </c>
      <c r="E504" s="13" t="s">
        <v>216</v>
      </c>
      <c r="F504" s="13" t="s">
        <v>234</v>
      </c>
      <c r="G504" s="19">
        <v>8000</v>
      </c>
      <c r="H504" s="19"/>
      <c r="I504" s="19">
        <v>8000</v>
      </c>
      <c r="J504" s="20">
        <v>27</v>
      </c>
    </row>
    <row r="505" spans="1:10" x14ac:dyDescent="0.25">
      <c r="A505" s="18">
        <v>46022</v>
      </c>
      <c r="B505" s="18">
        <v>46022</v>
      </c>
      <c r="C505" s="11" t="s">
        <v>268</v>
      </c>
      <c r="D505" s="11" t="s">
        <v>166</v>
      </c>
      <c r="E505" s="13" t="s">
        <v>167</v>
      </c>
      <c r="F505" s="13" t="s">
        <v>234</v>
      </c>
      <c r="G505" s="19"/>
      <c r="H505" s="19">
        <v>133500</v>
      </c>
      <c r="I505" s="19">
        <v>-133500</v>
      </c>
      <c r="J505" s="20">
        <v>27</v>
      </c>
    </row>
    <row r="506" spans="1:10" x14ac:dyDescent="0.25">
      <c r="A506" s="18">
        <v>46022</v>
      </c>
      <c r="B506" s="18">
        <v>46022</v>
      </c>
      <c r="C506" s="11" t="s">
        <v>268</v>
      </c>
      <c r="D506" s="11" t="s">
        <v>166</v>
      </c>
      <c r="E506" s="13" t="s">
        <v>167</v>
      </c>
      <c r="F506" s="13" t="s">
        <v>234</v>
      </c>
      <c r="G506" s="19">
        <v>133500</v>
      </c>
      <c r="H506" s="19"/>
      <c r="I506" s="19">
        <v>133500</v>
      </c>
      <c r="J506" s="20">
        <v>27</v>
      </c>
    </row>
    <row r="507" spans="1:10" x14ac:dyDescent="0.25">
      <c r="A507" s="18">
        <v>46022</v>
      </c>
      <c r="B507" s="18">
        <v>46022</v>
      </c>
      <c r="C507" s="11" t="s">
        <v>268</v>
      </c>
      <c r="D507" s="11" t="s">
        <v>145</v>
      </c>
      <c r="E507" s="13" t="s">
        <v>146</v>
      </c>
      <c r="F507" s="13" t="s">
        <v>234</v>
      </c>
      <c r="G507" s="19"/>
      <c r="H507" s="19">
        <v>133500</v>
      </c>
      <c r="I507" s="19">
        <v>-133500</v>
      </c>
      <c r="J507" s="20">
        <v>27</v>
      </c>
    </row>
    <row r="508" spans="1:10" x14ac:dyDescent="0.25">
      <c r="A508" s="18">
        <v>46022</v>
      </c>
      <c r="B508" s="18">
        <v>46022</v>
      </c>
      <c r="C508" s="11" t="s">
        <v>268</v>
      </c>
      <c r="D508" s="11" t="s">
        <v>151</v>
      </c>
      <c r="E508" s="13" t="s">
        <v>152</v>
      </c>
      <c r="F508" s="13" t="s">
        <v>252</v>
      </c>
      <c r="G508" s="19">
        <v>635287.68000000005</v>
      </c>
      <c r="H508" s="19"/>
      <c r="I508" s="19">
        <v>635287.68000000005</v>
      </c>
      <c r="J508" s="20">
        <v>27</v>
      </c>
    </row>
    <row r="509" spans="1:10" x14ac:dyDescent="0.25">
      <c r="A509" s="18">
        <v>46022</v>
      </c>
      <c r="B509" s="18">
        <v>46022</v>
      </c>
      <c r="C509" s="11" t="s">
        <v>268</v>
      </c>
      <c r="D509" s="11" t="s">
        <v>188</v>
      </c>
      <c r="E509" s="13" t="s">
        <v>189</v>
      </c>
      <c r="F509" s="13" t="s">
        <v>236</v>
      </c>
      <c r="G509" s="19"/>
      <c r="H509" s="19">
        <v>635287.68000000005</v>
      </c>
      <c r="I509" s="19">
        <v>-635287.68000000005</v>
      </c>
      <c r="J509" s="20">
        <v>27</v>
      </c>
    </row>
    <row r="510" spans="1:10" x14ac:dyDescent="0.25">
      <c r="A510" s="18">
        <v>46022</v>
      </c>
      <c r="B510" s="18">
        <v>46022</v>
      </c>
      <c r="C510" s="11" t="s">
        <v>268</v>
      </c>
      <c r="D510" s="11" t="s">
        <v>153</v>
      </c>
      <c r="E510" s="13" t="s">
        <v>154</v>
      </c>
      <c r="F510" s="13" t="s">
        <v>240</v>
      </c>
      <c r="G510" s="19">
        <v>11300000</v>
      </c>
      <c r="H510" s="19"/>
      <c r="I510" s="19">
        <v>11300000</v>
      </c>
      <c r="J510" s="20">
        <v>27</v>
      </c>
    </row>
    <row r="511" spans="1:10" x14ac:dyDescent="0.25">
      <c r="A511" s="18">
        <v>46022</v>
      </c>
      <c r="B511" s="18">
        <v>46022</v>
      </c>
      <c r="C511" s="11" t="s">
        <v>268</v>
      </c>
      <c r="D511" s="11" t="s">
        <v>219</v>
      </c>
      <c r="E511" s="13" t="s">
        <v>220</v>
      </c>
      <c r="F511" s="13" t="s">
        <v>240</v>
      </c>
      <c r="G511" s="19"/>
      <c r="H511" s="19">
        <v>11300000</v>
      </c>
      <c r="I511" s="19">
        <v>-11300000</v>
      </c>
      <c r="J511" s="20">
        <v>27</v>
      </c>
    </row>
    <row r="512" spans="1:10" x14ac:dyDescent="0.25">
      <c r="A512" s="18">
        <v>46112</v>
      </c>
      <c r="B512" s="18">
        <v>46112</v>
      </c>
      <c r="C512" s="11" t="s">
        <v>269</v>
      </c>
      <c r="D512" s="11" t="s">
        <v>196</v>
      </c>
      <c r="E512" s="13" t="s">
        <v>197</v>
      </c>
      <c r="F512" s="13" t="s">
        <v>233</v>
      </c>
      <c r="G512" s="19">
        <v>530000</v>
      </c>
      <c r="H512" s="19"/>
      <c r="I512" s="19">
        <v>530000</v>
      </c>
      <c r="J512" s="20">
        <v>28</v>
      </c>
    </row>
    <row r="513" spans="1:10" x14ac:dyDescent="0.25">
      <c r="A513" s="18">
        <v>46112</v>
      </c>
      <c r="B513" s="18">
        <v>46112</v>
      </c>
      <c r="C513" s="11" t="s">
        <v>269</v>
      </c>
      <c r="D513" s="11" t="s">
        <v>170</v>
      </c>
      <c r="E513" s="13" t="s">
        <v>171</v>
      </c>
      <c r="F513" s="13" t="s">
        <v>233</v>
      </c>
      <c r="G513" s="19"/>
      <c r="H513" s="19">
        <v>530000</v>
      </c>
      <c r="I513" s="19">
        <v>-530000</v>
      </c>
      <c r="J513" s="20">
        <v>28</v>
      </c>
    </row>
    <row r="514" spans="1:10" x14ac:dyDescent="0.25">
      <c r="A514" s="18">
        <v>46112</v>
      </c>
      <c r="B514" s="18">
        <v>46112</v>
      </c>
      <c r="C514" s="11" t="s">
        <v>269</v>
      </c>
      <c r="D514" s="11" t="s">
        <v>170</v>
      </c>
      <c r="E514" s="13" t="s">
        <v>171</v>
      </c>
      <c r="F514" s="13" t="s">
        <v>233</v>
      </c>
      <c r="G514" s="19">
        <v>530000</v>
      </c>
      <c r="H514" s="19"/>
      <c r="I514" s="19">
        <v>530000</v>
      </c>
      <c r="J514" s="20">
        <v>28</v>
      </c>
    </row>
    <row r="515" spans="1:10" x14ac:dyDescent="0.25">
      <c r="A515" s="18">
        <v>46112</v>
      </c>
      <c r="B515" s="18">
        <v>46112</v>
      </c>
      <c r="C515" s="11" t="s">
        <v>269</v>
      </c>
      <c r="D515" s="11" t="s">
        <v>145</v>
      </c>
      <c r="E515" s="13" t="s">
        <v>146</v>
      </c>
      <c r="F515" s="13" t="s">
        <v>233</v>
      </c>
      <c r="G515" s="19"/>
      <c r="H515" s="19">
        <v>530000</v>
      </c>
      <c r="I515" s="19">
        <v>-530000</v>
      </c>
      <c r="J515" s="20">
        <v>28</v>
      </c>
    </row>
    <row r="516" spans="1:10" x14ac:dyDescent="0.25">
      <c r="A516" s="18">
        <v>46112</v>
      </c>
      <c r="B516" s="18">
        <v>46112</v>
      </c>
      <c r="C516" s="11" t="s">
        <v>269</v>
      </c>
      <c r="D516" s="11" t="s">
        <v>209</v>
      </c>
      <c r="E516" s="13" t="s">
        <v>210</v>
      </c>
      <c r="F516" s="13" t="s">
        <v>234</v>
      </c>
      <c r="G516" s="19">
        <v>55000</v>
      </c>
      <c r="H516" s="19"/>
      <c r="I516" s="19">
        <v>55000</v>
      </c>
      <c r="J516" s="20">
        <v>28</v>
      </c>
    </row>
    <row r="517" spans="1:10" x14ac:dyDescent="0.25">
      <c r="A517" s="18">
        <v>46112</v>
      </c>
      <c r="B517" s="18">
        <v>46112</v>
      </c>
      <c r="C517" s="11" t="s">
        <v>269</v>
      </c>
      <c r="D517" s="11" t="s">
        <v>205</v>
      </c>
      <c r="E517" s="13" t="s">
        <v>206</v>
      </c>
      <c r="F517" s="13" t="s">
        <v>234</v>
      </c>
      <c r="G517" s="19">
        <v>48000</v>
      </c>
      <c r="H517" s="19"/>
      <c r="I517" s="19">
        <v>48000</v>
      </c>
      <c r="J517" s="20">
        <v>28</v>
      </c>
    </row>
    <row r="518" spans="1:10" x14ac:dyDescent="0.25">
      <c r="A518" s="18">
        <v>46112</v>
      </c>
      <c r="B518" s="18">
        <v>46112</v>
      </c>
      <c r="C518" s="11" t="s">
        <v>269</v>
      </c>
      <c r="D518" s="11" t="s">
        <v>207</v>
      </c>
      <c r="E518" s="13" t="s">
        <v>208</v>
      </c>
      <c r="F518" s="13" t="s">
        <v>234</v>
      </c>
      <c r="G518" s="19">
        <v>15000</v>
      </c>
      <c r="H518" s="19"/>
      <c r="I518" s="19">
        <v>15000</v>
      </c>
      <c r="J518" s="20">
        <v>28</v>
      </c>
    </row>
    <row r="519" spans="1:10" x14ac:dyDescent="0.25">
      <c r="A519" s="18">
        <v>46112</v>
      </c>
      <c r="B519" s="18">
        <v>46112</v>
      </c>
      <c r="C519" s="11" t="s">
        <v>269</v>
      </c>
      <c r="D519" s="11" t="s">
        <v>211</v>
      </c>
      <c r="E519" s="13" t="s">
        <v>212</v>
      </c>
      <c r="F519" s="13" t="s">
        <v>234</v>
      </c>
      <c r="G519" s="19">
        <v>7500</v>
      </c>
      <c r="H519" s="19"/>
      <c r="I519" s="19">
        <v>7500</v>
      </c>
      <c r="J519" s="20">
        <v>28</v>
      </c>
    </row>
    <row r="520" spans="1:10" x14ac:dyDescent="0.25">
      <c r="A520" s="18">
        <v>46112</v>
      </c>
      <c r="B520" s="18">
        <v>46112</v>
      </c>
      <c r="C520" s="11" t="s">
        <v>269</v>
      </c>
      <c r="D520" s="11" t="s">
        <v>215</v>
      </c>
      <c r="E520" s="13" t="s">
        <v>216</v>
      </c>
      <c r="F520" s="13" t="s">
        <v>234</v>
      </c>
      <c r="G520" s="19">
        <v>8000</v>
      </c>
      <c r="H520" s="19"/>
      <c r="I520" s="19">
        <v>8000</v>
      </c>
      <c r="J520" s="20">
        <v>28</v>
      </c>
    </row>
    <row r="521" spans="1:10" x14ac:dyDescent="0.25">
      <c r="A521" s="18">
        <v>46112</v>
      </c>
      <c r="B521" s="18">
        <v>46112</v>
      </c>
      <c r="C521" s="11" t="s">
        <v>269</v>
      </c>
      <c r="D521" s="11" t="s">
        <v>166</v>
      </c>
      <c r="E521" s="13" t="s">
        <v>167</v>
      </c>
      <c r="F521" s="13" t="s">
        <v>234</v>
      </c>
      <c r="G521" s="19"/>
      <c r="H521" s="19">
        <v>133500</v>
      </c>
      <c r="I521" s="19">
        <v>-133500</v>
      </c>
      <c r="J521" s="20">
        <v>28</v>
      </c>
    </row>
    <row r="522" spans="1:10" x14ac:dyDescent="0.25">
      <c r="A522" s="18">
        <v>46112</v>
      </c>
      <c r="B522" s="18">
        <v>46112</v>
      </c>
      <c r="C522" s="11" t="s">
        <v>269</v>
      </c>
      <c r="D522" s="11" t="s">
        <v>166</v>
      </c>
      <c r="E522" s="13" t="s">
        <v>167</v>
      </c>
      <c r="F522" s="13" t="s">
        <v>234</v>
      </c>
      <c r="G522" s="19">
        <v>133500</v>
      </c>
      <c r="H522" s="19"/>
      <c r="I522" s="19">
        <v>133500</v>
      </c>
      <c r="J522" s="20">
        <v>28</v>
      </c>
    </row>
    <row r="523" spans="1:10" x14ac:dyDescent="0.25">
      <c r="A523" s="18">
        <v>46112</v>
      </c>
      <c r="B523" s="18">
        <v>46112</v>
      </c>
      <c r="C523" s="11" t="s">
        <v>269</v>
      </c>
      <c r="D523" s="11" t="s">
        <v>145</v>
      </c>
      <c r="E523" s="13" t="s">
        <v>146</v>
      </c>
      <c r="F523" s="13" t="s">
        <v>234</v>
      </c>
      <c r="G523" s="19"/>
      <c r="H523" s="19">
        <v>133500</v>
      </c>
      <c r="I523" s="19">
        <v>-133500</v>
      </c>
      <c r="J523" s="20">
        <v>28</v>
      </c>
    </row>
    <row r="524" spans="1:10" x14ac:dyDescent="0.25">
      <c r="A524" s="18">
        <v>46112</v>
      </c>
      <c r="B524" s="18">
        <v>46112</v>
      </c>
      <c r="C524" s="11" t="s">
        <v>269</v>
      </c>
      <c r="D524" s="11" t="s">
        <v>151</v>
      </c>
      <c r="E524" s="13" t="s">
        <v>152</v>
      </c>
      <c r="F524" s="13" t="s">
        <v>252</v>
      </c>
      <c r="G524" s="19">
        <v>654346.31000000006</v>
      </c>
      <c r="H524" s="19"/>
      <c r="I524" s="19">
        <v>654346.31000000006</v>
      </c>
      <c r="J524" s="20">
        <v>28</v>
      </c>
    </row>
    <row r="525" spans="1:10" x14ac:dyDescent="0.25">
      <c r="A525" s="18">
        <v>46112</v>
      </c>
      <c r="B525" s="18">
        <v>46112</v>
      </c>
      <c r="C525" s="11" t="s">
        <v>269</v>
      </c>
      <c r="D525" s="11" t="s">
        <v>188</v>
      </c>
      <c r="E525" s="13" t="s">
        <v>189</v>
      </c>
      <c r="F525" s="13" t="s">
        <v>236</v>
      </c>
      <c r="G525" s="19"/>
      <c r="H525" s="19">
        <v>654346.31000000006</v>
      </c>
      <c r="I525" s="19">
        <v>-654346.31000000006</v>
      </c>
      <c r="J525" s="20">
        <v>28</v>
      </c>
    </row>
    <row r="526" spans="1:10" x14ac:dyDescent="0.25">
      <c r="A526" s="18">
        <v>46203</v>
      </c>
      <c r="B526" s="18">
        <v>46203</v>
      </c>
      <c r="C526" s="11" t="s">
        <v>270</v>
      </c>
      <c r="D526" s="11" t="s">
        <v>196</v>
      </c>
      <c r="E526" s="13" t="s">
        <v>197</v>
      </c>
      <c r="F526" s="13" t="s">
        <v>233</v>
      </c>
      <c r="G526" s="19">
        <v>530000</v>
      </c>
      <c r="H526" s="19"/>
      <c r="I526" s="19">
        <v>530000</v>
      </c>
      <c r="J526" s="20">
        <v>29</v>
      </c>
    </row>
    <row r="527" spans="1:10" x14ac:dyDescent="0.25">
      <c r="A527" s="18">
        <v>46203</v>
      </c>
      <c r="B527" s="18">
        <v>46203</v>
      </c>
      <c r="C527" s="11" t="s">
        <v>270</v>
      </c>
      <c r="D527" s="11" t="s">
        <v>170</v>
      </c>
      <c r="E527" s="13" t="s">
        <v>171</v>
      </c>
      <c r="F527" s="13" t="s">
        <v>233</v>
      </c>
      <c r="G527" s="19"/>
      <c r="H527" s="19">
        <v>530000</v>
      </c>
      <c r="I527" s="19">
        <v>-530000</v>
      </c>
      <c r="J527" s="20">
        <v>29</v>
      </c>
    </row>
    <row r="528" spans="1:10" x14ac:dyDescent="0.25">
      <c r="A528" s="18">
        <v>46203</v>
      </c>
      <c r="B528" s="18">
        <v>46203</v>
      </c>
      <c r="C528" s="11" t="s">
        <v>270</v>
      </c>
      <c r="D528" s="11" t="s">
        <v>170</v>
      </c>
      <c r="E528" s="13" t="s">
        <v>171</v>
      </c>
      <c r="F528" s="13" t="s">
        <v>233</v>
      </c>
      <c r="G528" s="19">
        <v>530000</v>
      </c>
      <c r="H528" s="19"/>
      <c r="I528" s="19">
        <v>530000</v>
      </c>
      <c r="J528" s="20">
        <v>29</v>
      </c>
    </row>
    <row r="529" spans="1:10" x14ac:dyDescent="0.25">
      <c r="A529" s="18">
        <v>46203</v>
      </c>
      <c r="B529" s="18">
        <v>46203</v>
      </c>
      <c r="C529" s="11" t="s">
        <v>270</v>
      </c>
      <c r="D529" s="11" t="s">
        <v>145</v>
      </c>
      <c r="E529" s="13" t="s">
        <v>146</v>
      </c>
      <c r="F529" s="13" t="s">
        <v>233</v>
      </c>
      <c r="G529" s="19"/>
      <c r="H529" s="19">
        <v>530000</v>
      </c>
      <c r="I529" s="19">
        <v>-530000</v>
      </c>
      <c r="J529" s="20">
        <v>29</v>
      </c>
    </row>
    <row r="530" spans="1:10" x14ac:dyDescent="0.25">
      <c r="A530" s="18">
        <v>46203</v>
      </c>
      <c r="B530" s="18">
        <v>46203</v>
      </c>
      <c r="C530" s="11" t="s">
        <v>270</v>
      </c>
      <c r="D530" s="11" t="s">
        <v>209</v>
      </c>
      <c r="E530" s="13" t="s">
        <v>210</v>
      </c>
      <c r="F530" s="13" t="s">
        <v>234</v>
      </c>
      <c r="G530" s="19">
        <v>55000</v>
      </c>
      <c r="H530" s="19"/>
      <c r="I530" s="19">
        <v>55000</v>
      </c>
      <c r="J530" s="20">
        <v>29</v>
      </c>
    </row>
    <row r="531" spans="1:10" x14ac:dyDescent="0.25">
      <c r="A531" s="18">
        <v>46203</v>
      </c>
      <c r="B531" s="18">
        <v>46203</v>
      </c>
      <c r="C531" s="11" t="s">
        <v>270</v>
      </c>
      <c r="D531" s="11" t="s">
        <v>205</v>
      </c>
      <c r="E531" s="13" t="s">
        <v>206</v>
      </c>
      <c r="F531" s="13" t="s">
        <v>234</v>
      </c>
      <c r="G531" s="19">
        <v>48000</v>
      </c>
      <c r="H531" s="19"/>
      <c r="I531" s="19">
        <v>48000</v>
      </c>
      <c r="J531" s="20">
        <v>29</v>
      </c>
    </row>
    <row r="532" spans="1:10" x14ac:dyDescent="0.25">
      <c r="A532" s="18">
        <v>46203</v>
      </c>
      <c r="B532" s="18">
        <v>46203</v>
      </c>
      <c r="C532" s="11" t="s">
        <v>270</v>
      </c>
      <c r="D532" s="11" t="s">
        <v>207</v>
      </c>
      <c r="E532" s="13" t="s">
        <v>208</v>
      </c>
      <c r="F532" s="13" t="s">
        <v>234</v>
      </c>
      <c r="G532" s="19">
        <v>15000</v>
      </c>
      <c r="H532" s="19"/>
      <c r="I532" s="19">
        <v>15000</v>
      </c>
      <c r="J532" s="20">
        <v>29</v>
      </c>
    </row>
    <row r="533" spans="1:10" x14ac:dyDescent="0.25">
      <c r="A533" s="18">
        <v>46203</v>
      </c>
      <c r="B533" s="18">
        <v>46203</v>
      </c>
      <c r="C533" s="11" t="s">
        <v>270</v>
      </c>
      <c r="D533" s="11" t="s">
        <v>211</v>
      </c>
      <c r="E533" s="13" t="s">
        <v>212</v>
      </c>
      <c r="F533" s="13" t="s">
        <v>234</v>
      </c>
      <c r="G533" s="19">
        <v>7500</v>
      </c>
      <c r="H533" s="19"/>
      <c r="I533" s="19">
        <v>7500</v>
      </c>
      <c r="J533" s="20">
        <v>29</v>
      </c>
    </row>
    <row r="534" spans="1:10" x14ac:dyDescent="0.25">
      <c r="A534" s="18">
        <v>46203</v>
      </c>
      <c r="B534" s="18">
        <v>46203</v>
      </c>
      <c r="C534" s="11" t="s">
        <v>270</v>
      </c>
      <c r="D534" s="11" t="s">
        <v>215</v>
      </c>
      <c r="E534" s="13" t="s">
        <v>216</v>
      </c>
      <c r="F534" s="13" t="s">
        <v>234</v>
      </c>
      <c r="G534" s="19">
        <v>8000</v>
      </c>
      <c r="H534" s="19"/>
      <c r="I534" s="19">
        <v>8000</v>
      </c>
      <c r="J534" s="20">
        <v>29</v>
      </c>
    </row>
    <row r="535" spans="1:10" x14ac:dyDescent="0.25">
      <c r="A535" s="18">
        <v>46203</v>
      </c>
      <c r="B535" s="18">
        <v>46203</v>
      </c>
      <c r="C535" s="11" t="s">
        <v>270</v>
      </c>
      <c r="D535" s="11" t="s">
        <v>166</v>
      </c>
      <c r="E535" s="13" t="s">
        <v>167</v>
      </c>
      <c r="F535" s="13" t="s">
        <v>234</v>
      </c>
      <c r="G535" s="19"/>
      <c r="H535" s="19">
        <v>133500</v>
      </c>
      <c r="I535" s="19">
        <v>-133500</v>
      </c>
      <c r="J535" s="20">
        <v>29</v>
      </c>
    </row>
    <row r="536" spans="1:10" x14ac:dyDescent="0.25">
      <c r="A536" s="18">
        <v>46203</v>
      </c>
      <c r="B536" s="18">
        <v>46203</v>
      </c>
      <c r="C536" s="11" t="s">
        <v>270</v>
      </c>
      <c r="D536" s="11" t="s">
        <v>166</v>
      </c>
      <c r="E536" s="13" t="s">
        <v>167</v>
      </c>
      <c r="F536" s="13" t="s">
        <v>234</v>
      </c>
      <c r="G536" s="19">
        <v>133500</v>
      </c>
      <c r="H536" s="19"/>
      <c r="I536" s="19">
        <v>133500</v>
      </c>
      <c r="J536" s="20">
        <v>29</v>
      </c>
    </row>
    <row r="537" spans="1:10" x14ac:dyDescent="0.25">
      <c r="A537" s="18">
        <v>46203</v>
      </c>
      <c r="B537" s="18">
        <v>46203</v>
      </c>
      <c r="C537" s="11" t="s">
        <v>270</v>
      </c>
      <c r="D537" s="11" t="s">
        <v>145</v>
      </c>
      <c r="E537" s="13" t="s">
        <v>146</v>
      </c>
      <c r="F537" s="13" t="s">
        <v>234</v>
      </c>
      <c r="G537" s="19"/>
      <c r="H537" s="19">
        <v>133500</v>
      </c>
      <c r="I537" s="19">
        <v>-133500</v>
      </c>
      <c r="J537" s="20">
        <v>29</v>
      </c>
    </row>
    <row r="538" spans="1:10" x14ac:dyDescent="0.25">
      <c r="A538" s="18">
        <v>46203</v>
      </c>
      <c r="B538" s="18">
        <v>46203</v>
      </c>
      <c r="C538" s="11" t="s">
        <v>270</v>
      </c>
      <c r="D538" s="11" t="s">
        <v>151</v>
      </c>
      <c r="E538" s="13" t="s">
        <v>152</v>
      </c>
      <c r="F538" s="13" t="s">
        <v>252</v>
      </c>
      <c r="G538" s="19">
        <v>673976.7</v>
      </c>
      <c r="H538" s="19"/>
      <c r="I538" s="19">
        <v>673976.7</v>
      </c>
      <c r="J538" s="20">
        <v>29</v>
      </c>
    </row>
    <row r="539" spans="1:10" x14ac:dyDescent="0.25">
      <c r="A539" s="18">
        <v>46203</v>
      </c>
      <c r="B539" s="18">
        <v>46203</v>
      </c>
      <c r="C539" s="11" t="s">
        <v>270</v>
      </c>
      <c r="D539" s="11" t="s">
        <v>188</v>
      </c>
      <c r="E539" s="13" t="s">
        <v>189</v>
      </c>
      <c r="F539" s="13" t="s">
        <v>236</v>
      </c>
      <c r="G539" s="19"/>
      <c r="H539" s="19">
        <v>673976.7</v>
      </c>
      <c r="I539" s="19">
        <v>-673976.7</v>
      </c>
      <c r="J539" s="20">
        <v>29</v>
      </c>
    </row>
    <row r="540" spans="1:10" x14ac:dyDescent="0.25">
      <c r="A540" s="18">
        <v>46203</v>
      </c>
      <c r="B540" s="18">
        <v>46203</v>
      </c>
      <c r="C540" s="11" t="s">
        <v>270</v>
      </c>
      <c r="D540" s="11" t="s">
        <v>153</v>
      </c>
      <c r="E540" s="13" t="s">
        <v>154</v>
      </c>
      <c r="F540" s="13" t="s">
        <v>240</v>
      </c>
      <c r="G540" s="19">
        <v>9500000</v>
      </c>
      <c r="H540" s="19"/>
      <c r="I540" s="19">
        <v>9500000</v>
      </c>
      <c r="J540" s="20">
        <v>29</v>
      </c>
    </row>
    <row r="541" spans="1:10" x14ac:dyDescent="0.25">
      <c r="A541" s="18">
        <v>46203</v>
      </c>
      <c r="B541" s="18">
        <v>46203</v>
      </c>
      <c r="C541" s="11" t="s">
        <v>270</v>
      </c>
      <c r="D541" s="11" t="s">
        <v>219</v>
      </c>
      <c r="E541" s="13" t="s">
        <v>220</v>
      </c>
      <c r="F541" s="13" t="s">
        <v>240</v>
      </c>
      <c r="G541" s="19"/>
      <c r="H541" s="19">
        <v>9500000</v>
      </c>
      <c r="I541" s="19">
        <v>-9500000</v>
      </c>
      <c r="J541" s="20">
        <v>29</v>
      </c>
    </row>
    <row r="542" spans="1:10" x14ac:dyDescent="0.25">
      <c r="A542" s="18">
        <v>46295</v>
      </c>
      <c r="B542" s="18">
        <v>46295</v>
      </c>
      <c r="C542" s="11" t="s">
        <v>271</v>
      </c>
      <c r="D542" s="11" t="s">
        <v>145</v>
      </c>
      <c r="E542" s="13" t="s">
        <v>146</v>
      </c>
      <c r="F542" s="13" t="s">
        <v>231</v>
      </c>
      <c r="G542" s="19">
        <v>500000</v>
      </c>
      <c r="H542" s="19"/>
      <c r="I542" s="19">
        <v>500000</v>
      </c>
      <c r="J542" s="20">
        <v>30</v>
      </c>
    </row>
    <row r="543" spans="1:10" x14ac:dyDescent="0.25">
      <c r="A543" s="18">
        <v>46295</v>
      </c>
      <c r="B543" s="18">
        <v>46295</v>
      </c>
      <c r="C543" s="11" t="s">
        <v>271</v>
      </c>
      <c r="D543" s="11" t="s">
        <v>176</v>
      </c>
      <c r="E543" s="13" t="s">
        <v>177</v>
      </c>
      <c r="F543" s="13" t="s">
        <v>231</v>
      </c>
      <c r="G543" s="19"/>
      <c r="H543" s="19">
        <v>500000</v>
      </c>
      <c r="I543" s="19">
        <v>-500000</v>
      </c>
      <c r="J543" s="20">
        <v>30</v>
      </c>
    </row>
    <row r="544" spans="1:10" x14ac:dyDescent="0.25">
      <c r="A544" s="18">
        <v>46295</v>
      </c>
      <c r="B544" s="18">
        <v>46295</v>
      </c>
      <c r="C544" s="11" t="s">
        <v>271</v>
      </c>
      <c r="D544" s="11" t="s">
        <v>196</v>
      </c>
      <c r="E544" s="13" t="s">
        <v>197</v>
      </c>
      <c r="F544" s="13" t="s">
        <v>233</v>
      </c>
      <c r="G544" s="19">
        <v>530000</v>
      </c>
      <c r="H544" s="19"/>
      <c r="I544" s="19">
        <v>530000</v>
      </c>
      <c r="J544" s="20">
        <v>30</v>
      </c>
    </row>
    <row r="545" spans="1:10" x14ac:dyDescent="0.25">
      <c r="A545" s="18">
        <v>46295</v>
      </c>
      <c r="B545" s="18">
        <v>46295</v>
      </c>
      <c r="C545" s="11" t="s">
        <v>271</v>
      </c>
      <c r="D545" s="11" t="s">
        <v>170</v>
      </c>
      <c r="E545" s="13" t="s">
        <v>171</v>
      </c>
      <c r="F545" s="13" t="s">
        <v>233</v>
      </c>
      <c r="G545" s="19"/>
      <c r="H545" s="19">
        <v>530000</v>
      </c>
      <c r="I545" s="19">
        <v>-530000</v>
      </c>
      <c r="J545" s="20">
        <v>30</v>
      </c>
    </row>
    <row r="546" spans="1:10" x14ac:dyDescent="0.25">
      <c r="A546" s="18">
        <v>46295</v>
      </c>
      <c r="B546" s="18">
        <v>46295</v>
      </c>
      <c r="C546" s="11" t="s">
        <v>271</v>
      </c>
      <c r="D546" s="11" t="s">
        <v>170</v>
      </c>
      <c r="E546" s="13" t="s">
        <v>171</v>
      </c>
      <c r="F546" s="13" t="s">
        <v>233</v>
      </c>
      <c r="G546" s="19">
        <v>530000</v>
      </c>
      <c r="H546" s="19"/>
      <c r="I546" s="19">
        <v>530000</v>
      </c>
      <c r="J546" s="20">
        <v>30</v>
      </c>
    </row>
    <row r="547" spans="1:10" x14ac:dyDescent="0.25">
      <c r="A547" s="18">
        <v>46295</v>
      </c>
      <c r="B547" s="18">
        <v>46295</v>
      </c>
      <c r="C547" s="11" t="s">
        <v>271</v>
      </c>
      <c r="D547" s="11" t="s">
        <v>145</v>
      </c>
      <c r="E547" s="13" t="s">
        <v>146</v>
      </c>
      <c r="F547" s="13" t="s">
        <v>233</v>
      </c>
      <c r="G547" s="19"/>
      <c r="H547" s="19">
        <v>530000</v>
      </c>
      <c r="I547" s="19">
        <v>-530000</v>
      </c>
      <c r="J547" s="20">
        <v>30</v>
      </c>
    </row>
    <row r="548" spans="1:10" x14ac:dyDescent="0.25">
      <c r="A548" s="18">
        <v>46295</v>
      </c>
      <c r="B548" s="18">
        <v>46295</v>
      </c>
      <c r="C548" s="11" t="s">
        <v>271</v>
      </c>
      <c r="D548" s="11" t="s">
        <v>209</v>
      </c>
      <c r="E548" s="13" t="s">
        <v>210</v>
      </c>
      <c r="F548" s="13" t="s">
        <v>234</v>
      </c>
      <c r="G548" s="19">
        <v>55000</v>
      </c>
      <c r="H548" s="19"/>
      <c r="I548" s="19">
        <v>55000</v>
      </c>
      <c r="J548" s="20">
        <v>30</v>
      </c>
    </row>
    <row r="549" spans="1:10" x14ac:dyDescent="0.25">
      <c r="A549" s="18">
        <v>46295</v>
      </c>
      <c r="B549" s="18">
        <v>46295</v>
      </c>
      <c r="C549" s="11" t="s">
        <v>271</v>
      </c>
      <c r="D549" s="11" t="s">
        <v>205</v>
      </c>
      <c r="E549" s="13" t="s">
        <v>206</v>
      </c>
      <c r="F549" s="13" t="s">
        <v>234</v>
      </c>
      <c r="G549" s="19">
        <v>48000</v>
      </c>
      <c r="H549" s="19"/>
      <c r="I549" s="19">
        <v>48000</v>
      </c>
      <c r="J549" s="20">
        <v>30</v>
      </c>
    </row>
    <row r="550" spans="1:10" x14ac:dyDescent="0.25">
      <c r="A550" s="18">
        <v>46295</v>
      </c>
      <c r="B550" s="18">
        <v>46295</v>
      </c>
      <c r="C550" s="11" t="s">
        <v>271</v>
      </c>
      <c r="D550" s="11" t="s">
        <v>207</v>
      </c>
      <c r="E550" s="13" t="s">
        <v>208</v>
      </c>
      <c r="F550" s="13" t="s">
        <v>234</v>
      </c>
      <c r="G550" s="19">
        <v>15000</v>
      </c>
      <c r="H550" s="19"/>
      <c r="I550" s="19">
        <v>15000</v>
      </c>
      <c r="J550" s="20">
        <v>30</v>
      </c>
    </row>
    <row r="551" spans="1:10" x14ac:dyDescent="0.25">
      <c r="A551" s="18">
        <v>46295</v>
      </c>
      <c r="B551" s="18">
        <v>46295</v>
      </c>
      <c r="C551" s="11" t="s">
        <v>271</v>
      </c>
      <c r="D551" s="11" t="s">
        <v>211</v>
      </c>
      <c r="E551" s="13" t="s">
        <v>212</v>
      </c>
      <c r="F551" s="13" t="s">
        <v>234</v>
      </c>
      <c r="G551" s="19">
        <v>7500</v>
      </c>
      <c r="H551" s="19"/>
      <c r="I551" s="19">
        <v>7500</v>
      </c>
      <c r="J551" s="20">
        <v>30</v>
      </c>
    </row>
    <row r="552" spans="1:10" x14ac:dyDescent="0.25">
      <c r="A552" s="18">
        <v>46295</v>
      </c>
      <c r="B552" s="18">
        <v>46295</v>
      </c>
      <c r="C552" s="11" t="s">
        <v>271</v>
      </c>
      <c r="D552" s="11" t="s">
        <v>215</v>
      </c>
      <c r="E552" s="13" t="s">
        <v>216</v>
      </c>
      <c r="F552" s="13" t="s">
        <v>234</v>
      </c>
      <c r="G552" s="19">
        <v>8000</v>
      </c>
      <c r="H552" s="19"/>
      <c r="I552" s="19">
        <v>8000</v>
      </c>
      <c r="J552" s="20">
        <v>30</v>
      </c>
    </row>
    <row r="553" spans="1:10" x14ac:dyDescent="0.25">
      <c r="A553" s="18">
        <v>46295</v>
      </c>
      <c r="B553" s="18">
        <v>46295</v>
      </c>
      <c r="C553" s="11" t="s">
        <v>271</v>
      </c>
      <c r="D553" s="11" t="s">
        <v>166</v>
      </c>
      <c r="E553" s="13" t="s">
        <v>167</v>
      </c>
      <c r="F553" s="13" t="s">
        <v>234</v>
      </c>
      <c r="G553" s="19"/>
      <c r="H553" s="19">
        <v>133500</v>
      </c>
      <c r="I553" s="19">
        <v>-133500</v>
      </c>
      <c r="J553" s="20">
        <v>30</v>
      </c>
    </row>
    <row r="554" spans="1:10" x14ac:dyDescent="0.25">
      <c r="A554" s="18">
        <v>46295</v>
      </c>
      <c r="B554" s="18">
        <v>46295</v>
      </c>
      <c r="C554" s="11" t="s">
        <v>271</v>
      </c>
      <c r="D554" s="11" t="s">
        <v>166</v>
      </c>
      <c r="E554" s="13" t="s">
        <v>167</v>
      </c>
      <c r="F554" s="13" t="s">
        <v>234</v>
      </c>
      <c r="G554" s="19">
        <v>133500</v>
      </c>
      <c r="H554" s="19"/>
      <c r="I554" s="19">
        <v>133500</v>
      </c>
      <c r="J554" s="20">
        <v>30</v>
      </c>
    </row>
    <row r="555" spans="1:10" x14ac:dyDescent="0.25">
      <c r="A555" s="18">
        <v>46295</v>
      </c>
      <c r="B555" s="18">
        <v>46295</v>
      </c>
      <c r="C555" s="11" t="s">
        <v>271</v>
      </c>
      <c r="D555" s="11" t="s">
        <v>145</v>
      </c>
      <c r="E555" s="13" t="s">
        <v>146</v>
      </c>
      <c r="F555" s="13" t="s">
        <v>234</v>
      </c>
      <c r="G555" s="19"/>
      <c r="H555" s="19">
        <v>133500</v>
      </c>
      <c r="I555" s="19">
        <v>-133500</v>
      </c>
      <c r="J555" s="20">
        <v>30</v>
      </c>
    </row>
    <row r="556" spans="1:10" x14ac:dyDescent="0.25">
      <c r="A556" s="18">
        <v>46295</v>
      </c>
      <c r="B556" s="18">
        <v>46295</v>
      </c>
      <c r="C556" s="11" t="s">
        <v>271</v>
      </c>
      <c r="D556" s="11" t="s">
        <v>151</v>
      </c>
      <c r="E556" s="13" t="s">
        <v>152</v>
      </c>
      <c r="F556" s="13" t="s">
        <v>252</v>
      </c>
      <c r="G556" s="19">
        <v>694196</v>
      </c>
      <c r="H556" s="19"/>
      <c r="I556" s="19">
        <v>694196</v>
      </c>
      <c r="J556" s="20">
        <v>30</v>
      </c>
    </row>
    <row r="557" spans="1:10" x14ac:dyDescent="0.25">
      <c r="A557" s="18">
        <v>46295</v>
      </c>
      <c r="B557" s="18">
        <v>46295</v>
      </c>
      <c r="C557" s="11" t="s">
        <v>271</v>
      </c>
      <c r="D557" s="11" t="s">
        <v>188</v>
      </c>
      <c r="E557" s="13" t="s">
        <v>189</v>
      </c>
      <c r="F557" s="13" t="s">
        <v>236</v>
      </c>
      <c r="G557" s="19"/>
      <c r="H557" s="19">
        <v>694196</v>
      </c>
      <c r="I557" s="19">
        <v>-694196</v>
      </c>
      <c r="J557" s="20">
        <v>30</v>
      </c>
    </row>
    <row r="558" spans="1:10" x14ac:dyDescent="0.25">
      <c r="A558" s="18">
        <v>46387</v>
      </c>
      <c r="B558" s="18">
        <v>46387</v>
      </c>
      <c r="C558" s="11" t="s">
        <v>272</v>
      </c>
      <c r="D558" s="11" t="s">
        <v>145</v>
      </c>
      <c r="E558" s="13" t="s">
        <v>146</v>
      </c>
      <c r="F558" s="13" t="s">
        <v>231</v>
      </c>
      <c r="G558" s="19">
        <v>700000</v>
      </c>
      <c r="H558" s="19"/>
      <c r="I558" s="19">
        <v>700000</v>
      </c>
      <c r="J558" s="20">
        <v>31</v>
      </c>
    </row>
    <row r="559" spans="1:10" x14ac:dyDescent="0.25">
      <c r="A559" s="18">
        <v>46387</v>
      </c>
      <c r="B559" s="18">
        <v>46387</v>
      </c>
      <c r="C559" s="11" t="s">
        <v>272</v>
      </c>
      <c r="D559" s="11" t="s">
        <v>176</v>
      </c>
      <c r="E559" s="13" t="s">
        <v>177</v>
      </c>
      <c r="F559" s="13" t="s">
        <v>231</v>
      </c>
      <c r="G559" s="19"/>
      <c r="H559" s="19">
        <v>700000</v>
      </c>
      <c r="I559" s="19">
        <v>-700000</v>
      </c>
      <c r="J559" s="20">
        <v>31</v>
      </c>
    </row>
    <row r="560" spans="1:10" x14ac:dyDescent="0.25">
      <c r="A560" s="18">
        <v>46387</v>
      </c>
      <c r="B560" s="18">
        <v>46387</v>
      </c>
      <c r="C560" s="11" t="s">
        <v>272</v>
      </c>
      <c r="D560" s="11" t="s">
        <v>196</v>
      </c>
      <c r="E560" s="13" t="s">
        <v>197</v>
      </c>
      <c r="F560" s="13" t="s">
        <v>233</v>
      </c>
      <c r="G560" s="19">
        <v>530000</v>
      </c>
      <c r="H560" s="19"/>
      <c r="I560" s="19">
        <v>530000</v>
      </c>
      <c r="J560" s="20">
        <v>31</v>
      </c>
    </row>
    <row r="561" spans="1:10" x14ac:dyDescent="0.25">
      <c r="A561" s="18">
        <v>46387</v>
      </c>
      <c r="B561" s="18">
        <v>46387</v>
      </c>
      <c r="C561" s="11" t="s">
        <v>272</v>
      </c>
      <c r="D561" s="11" t="s">
        <v>170</v>
      </c>
      <c r="E561" s="13" t="s">
        <v>171</v>
      </c>
      <c r="F561" s="13" t="s">
        <v>233</v>
      </c>
      <c r="G561" s="19"/>
      <c r="H561" s="19">
        <v>530000</v>
      </c>
      <c r="I561" s="19">
        <v>-530000</v>
      </c>
      <c r="J561" s="20">
        <v>31</v>
      </c>
    </row>
    <row r="562" spans="1:10" x14ac:dyDescent="0.25">
      <c r="A562" s="18">
        <v>46387</v>
      </c>
      <c r="B562" s="18">
        <v>46387</v>
      </c>
      <c r="C562" s="11" t="s">
        <v>272</v>
      </c>
      <c r="D562" s="11" t="s">
        <v>170</v>
      </c>
      <c r="E562" s="13" t="s">
        <v>171</v>
      </c>
      <c r="F562" s="13" t="s">
        <v>233</v>
      </c>
      <c r="G562" s="19">
        <v>530000</v>
      </c>
      <c r="H562" s="19"/>
      <c r="I562" s="19">
        <v>530000</v>
      </c>
      <c r="J562" s="20">
        <v>31</v>
      </c>
    </row>
    <row r="563" spans="1:10" x14ac:dyDescent="0.25">
      <c r="A563" s="18">
        <v>46387</v>
      </c>
      <c r="B563" s="18">
        <v>46387</v>
      </c>
      <c r="C563" s="11" t="s">
        <v>272</v>
      </c>
      <c r="D563" s="11" t="s">
        <v>145</v>
      </c>
      <c r="E563" s="13" t="s">
        <v>146</v>
      </c>
      <c r="F563" s="13" t="s">
        <v>233</v>
      </c>
      <c r="G563" s="19"/>
      <c r="H563" s="19">
        <v>530000</v>
      </c>
      <c r="I563" s="19">
        <v>-530000</v>
      </c>
      <c r="J563" s="20">
        <v>31</v>
      </c>
    </row>
    <row r="564" spans="1:10" x14ac:dyDescent="0.25">
      <c r="A564" s="18">
        <v>46387</v>
      </c>
      <c r="B564" s="18">
        <v>46387</v>
      </c>
      <c r="C564" s="11" t="s">
        <v>272</v>
      </c>
      <c r="D564" s="11" t="s">
        <v>209</v>
      </c>
      <c r="E564" s="13" t="s">
        <v>210</v>
      </c>
      <c r="F564" s="13" t="s">
        <v>234</v>
      </c>
      <c r="G564" s="19">
        <v>55000</v>
      </c>
      <c r="H564" s="19"/>
      <c r="I564" s="19">
        <v>55000</v>
      </c>
      <c r="J564" s="20">
        <v>31</v>
      </c>
    </row>
    <row r="565" spans="1:10" x14ac:dyDescent="0.25">
      <c r="A565" s="18">
        <v>46387</v>
      </c>
      <c r="B565" s="18">
        <v>46387</v>
      </c>
      <c r="C565" s="11" t="s">
        <v>272</v>
      </c>
      <c r="D565" s="11" t="s">
        <v>205</v>
      </c>
      <c r="E565" s="13" t="s">
        <v>206</v>
      </c>
      <c r="F565" s="13" t="s">
        <v>234</v>
      </c>
      <c r="G565" s="19">
        <v>48000</v>
      </c>
      <c r="H565" s="19"/>
      <c r="I565" s="19">
        <v>48000</v>
      </c>
      <c r="J565" s="20">
        <v>31</v>
      </c>
    </row>
    <row r="566" spans="1:10" x14ac:dyDescent="0.25">
      <c r="A566" s="18">
        <v>46387</v>
      </c>
      <c r="B566" s="18">
        <v>46387</v>
      </c>
      <c r="C566" s="11" t="s">
        <v>272</v>
      </c>
      <c r="D566" s="11" t="s">
        <v>207</v>
      </c>
      <c r="E566" s="13" t="s">
        <v>208</v>
      </c>
      <c r="F566" s="13" t="s">
        <v>234</v>
      </c>
      <c r="G566" s="19">
        <v>15000</v>
      </c>
      <c r="H566" s="19"/>
      <c r="I566" s="19">
        <v>15000</v>
      </c>
      <c r="J566" s="20">
        <v>31</v>
      </c>
    </row>
    <row r="567" spans="1:10" x14ac:dyDescent="0.25">
      <c r="A567" s="18">
        <v>46387</v>
      </c>
      <c r="B567" s="18">
        <v>46387</v>
      </c>
      <c r="C567" s="11" t="s">
        <v>272</v>
      </c>
      <c r="D567" s="11" t="s">
        <v>211</v>
      </c>
      <c r="E567" s="13" t="s">
        <v>212</v>
      </c>
      <c r="F567" s="13" t="s">
        <v>234</v>
      </c>
      <c r="G567" s="19">
        <v>7500</v>
      </c>
      <c r="H567" s="19"/>
      <c r="I567" s="19">
        <v>7500</v>
      </c>
      <c r="J567" s="20">
        <v>31</v>
      </c>
    </row>
    <row r="568" spans="1:10" x14ac:dyDescent="0.25">
      <c r="A568" s="18">
        <v>46387</v>
      </c>
      <c r="B568" s="18">
        <v>46387</v>
      </c>
      <c r="C568" s="11" t="s">
        <v>272</v>
      </c>
      <c r="D568" s="11" t="s">
        <v>215</v>
      </c>
      <c r="E568" s="13" t="s">
        <v>216</v>
      </c>
      <c r="F568" s="13" t="s">
        <v>234</v>
      </c>
      <c r="G568" s="19">
        <v>8000</v>
      </c>
      <c r="H568" s="19"/>
      <c r="I568" s="19">
        <v>8000</v>
      </c>
      <c r="J568" s="20">
        <v>31</v>
      </c>
    </row>
    <row r="569" spans="1:10" x14ac:dyDescent="0.25">
      <c r="A569" s="18">
        <v>46387</v>
      </c>
      <c r="B569" s="18">
        <v>46387</v>
      </c>
      <c r="C569" s="11" t="s">
        <v>272</v>
      </c>
      <c r="D569" s="11" t="s">
        <v>166</v>
      </c>
      <c r="E569" s="13" t="s">
        <v>167</v>
      </c>
      <c r="F569" s="13" t="s">
        <v>234</v>
      </c>
      <c r="G569" s="19"/>
      <c r="H569" s="19">
        <v>133500</v>
      </c>
      <c r="I569" s="19">
        <v>-133500</v>
      </c>
      <c r="J569" s="20">
        <v>31</v>
      </c>
    </row>
    <row r="570" spans="1:10" x14ac:dyDescent="0.25">
      <c r="A570" s="18">
        <v>46387</v>
      </c>
      <c r="B570" s="18">
        <v>46387</v>
      </c>
      <c r="C570" s="11" t="s">
        <v>272</v>
      </c>
      <c r="D570" s="11" t="s">
        <v>166</v>
      </c>
      <c r="E570" s="13" t="s">
        <v>167</v>
      </c>
      <c r="F570" s="13" t="s">
        <v>234</v>
      </c>
      <c r="G570" s="19">
        <v>133500</v>
      </c>
      <c r="H570" s="19"/>
      <c r="I570" s="19">
        <v>133500</v>
      </c>
      <c r="J570" s="20">
        <v>31</v>
      </c>
    </row>
    <row r="571" spans="1:10" x14ac:dyDescent="0.25">
      <c r="A571" s="18">
        <v>46387</v>
      </c>
      <c r="B571" s="18">
        <v>46387</v>
      </c>
      <c r="C571" s="11" t="s">
        <v>272</v>
      </c>
      <c r="D571" s="11" t="s">
        <v>145</v>
      </c>
      <c r="E571" s="13" t="s">
        <v>146</v>
      </c>
      <c r="F571" s="13" t="s">
        <v>234</v>
      </c>
      <c r="G571" s="19"/>
      <c r="H571" s="19">
        <v>133500</v>
      </c>
      <c r="I571" s="19">
        <v>-133500</v>
      </c>
      <c r="J571" s="20">
        <v>31</v>
      </c>
    </row>
    <row r="572" spans="1:10" x14ac:dyDescent="0.25">
      <c r="A572" s="18">
        <v>46387</v>
      </c>
      <c r="B572" s="18">
        <v>46387</v>
      </c>
      <c r="C572" s="11" t="s">
        <v>272</v>
      </c>
      <c r="D572" s="11" t="s">
        <v>151</v>
      </c>
      <c r="E572" s="13" t="s">
        <v>152</v>
      </c>
      <c r="F572" s="13" t="s">
        <v>252</v>
      </c>
      <c r="G572" s="19">
        <v>715021.88</v>
      </c>
      <c r="H572" s="19"/>
      <c r="I572" s="19">
        <v>715021.88</v>
      </c>
      <c r="J572" s="20">
        <v>31</v>
      </c>
    </row>
    <row r="573" spans="1:10" x14ac:dyDescent="0.25">
      <c r="A573" s="18">
        <v>46387</v>
      </c>
      <c r="B573" s="18">
        <v>46387</v>
      </c>
      <c r="C573" s="11" t="s">
        <v>272</v>
      </c>
      <c r="D573" s="11" t="s">
        <v>188</v>
      </c>
      <c r="E573" s="13" t="s">
        <v>189</v>
      </c>
      <c r="F573" s="13" t="s">
        <v>236</v>
      </c>
      <c r="G573" s="19"/>
      <c r="H573" s="19">
        <v>715021.88</v>
      </c>
      <c r="I573" s="19">
        <v>-715021.88</v>
      </c>
      <c r="J573" s="20">
        <v>31</v>
      </c>
    </row>
    <row r="574" spans="1:10" x14ac:dyDescent="0.25">
      <c r="A574" s="18">
        <v>46387</v>
      </c>
      <c r="B574" s="18">
        <v>46387</v>
      </c>
      <c r="C574" s="11" t="s">
        <v>272</v>
      </c>
      <c r="D574" s="11" t="s">
        <v>153</v>
      </c>
      <c r="E574" s="13" t="s">
        <v>154</v>
      </c>
      <c r="F574" s="13" t="s">
        <v>240</v>
      </c>
      <c r="G574" s="19">
        <v>6000000</v>
      </c>
      <c r="H574" s="19"/>
      <c r="I574" s="19">
        <v>6000000</v>
      </c>
      <c r="J574" s="20">
        <v>31</v>
      </c>
    </row>
    <row r="575" spans="1:10" x14ac:dyDescent="0.25">
      <c r="A575" s="18">
        <v>46387</v>
      </c>
      <c r="B575" s="18">
        <v>46387</v>
      </c>
      <c r="C575" s="11" t="s">
        <v>272</v>
      </c>
      <c r="D575" s="11" t="s">
        <v>219</v>
      </c>
      <c r="E575" s="13" t="s">
        <v>220</v>
      </c>
      <c r="F575" s="13" t="s">
        <v>240</v>
      </c>
      <c r="G575" s="19"/>
      <c r="H575" s="19">
        <v>6000000</v>
      </c>
      <c r="I575" s="19">
        <v>-6000000</v>
      </c>
      <c r="J575" s="20">
        <v>31</v>
      </c>
    </row>
    <row r="576" spans="1:10" x14ac:dyDescent="0.25">
      <c r="A576" s="18">
        <v>46477</v>
      </c>
      <c r="B576" s="18">
        <v>46477</v>
      </c>
      <c r="C576" s="11" t="s">
        <v>273</v>
      </c>
      <c r="D576" s="11" t="s">
        <v>145</v>
      </c>
      <c r="E576" s="13" t="s">
        <v>146</v>
      </c>
      <c r="F576" s="13" t="s">
        <v>231</v>
      </c>
      <c r="G576" s="19">
        <v>700000</v>
      </c>
      <c r="H576" s="19"/>
      <c r="I576" s="19">
        <v>700000</v>
      </c>
      <c r="J576" s="20">
        <v>32</v>
      </c>
    </row>
    <row r="577" spans="1:10" x14ac:dyDescent="0.25">
      <c r="A577" s="18">
        <v>46477</v>
      </c>
      <c r="B577" s="18">
        <v>46477</v>
      </c>
      <c r="C577" s="11" t="s">
        <v>273</v>
      </c>
      <c r="D577" s="11" t="s">
        <v>176</v>
      </c>
      <c r="E577" s="13" t="s">
        <v>177</v>
      </c>
      <c r="F577" s="13" t="s">
        <v>231</v>
      </c>
      <c r="G577" s="19"/>
      <c r="H577" s="19">
        <v>700000</v>
      </c>
      <c r="I577" s="19">
        <v>-700000</v>
      </c>
      <c r="J577" s="20">
        <v>32</v>
      </c>
    </row>
    <row r="578" spans="1:10" x14ac:dyDescent="0.25">
      <c r="A578" s="18">
        <v>46477</v>
      </c>
      <c r="B578" s="18">
        <v>46477</v>
      </c>
      <c r="C578" s="11" t="s">
        <v>273</v>
      </c>
      <c r="D578" s="11" t="s">
        <v>196</v>
      </c>
      <c r="E578" s="13" t="s">
        <v>197</v>
      </c>
      <c r="F578" s="13" t="s">
        <v>233</v>
      </c>
      <c r="G578" s="19">
        <v>530000</v>
      </c>
      <c r="H578" s="19"/>
      <c r="I578" s="19">
        <v>530000</v>
      </c>
      <c r="J578" s="20">
        <v>32</v>
      </c>
    </row>
    <row r="579" spans="1:10" x14ac:dyDescent="0.25">
      <c r="A579" s="18">
        <v>46477</v>
      </c>
      <c r="B579" s="18">
        <v>46477</v>
      </c>
      <c r="C579" s="11" t="s">
        <v>273</v>
      </c>
      <c r="D579" s="11" t="s">
        <v>170</v>
      </c>
      <c r="E579" s="13" t="s">
        <v>171</v>
      </c>
      <c r="F579" s="13" t="s">
        <v>233</v>
      </c>
      <c r="G579" s="19"/>
      <c r="H579" s="19">
        <v>530000</v>
      </c>
      <c r="I579" s="19">
        <v>-530000</v>
      </c>
      <c r="J579" s="20">
        <v>32</v>
      </c>
    </row>
    <row r="580" spans="1:10" x14ac:dyDescent="0.25">
      <c r="A580" s="18">
        <v>46477</v>
      </c>
      <c r="B580" s="18">
        <v>46477</v>
      </c>
      <c r="C580" s="11" t="s">
        <v>273</v>
      </c>
      <c r="D580" s="11" t="s">
        <v>170</v>
      </c>
      <c r="E580" s="13" t="s">
        <v>171</v>
      </c>
      <c r="F580" s="13" t="s">
        <v>233</v>
      </c>
      <c r="G580" s="19">
        <v>530000</v>
      </c>
      <c r="H580" s="19"/>
      <c r="I580" s="19">
        <v>530000</v>
      </c>
      <c r="J580" s="20">
        <v>32</v>
      </c>
    </row>
    <row r="581" spans="1:10" x14ac:dyDescent="0.25">
      <c r="A581" s="18">
        <v>46477</v>
      </c>
      <c r="B581" s="18">
        <v>46477</v>
      </c>
      <c r="C581" s="11" t="s">
        <v>273</v>
      </c>
      <c r="D581" s="11" t="s">
        <v>145</v>
      </c>
      <c r="E581" s="13" t="s">
        <v>146</v>
      </c>
      <c r="F581" s="13" t="s">
        <v>233</v>
      </c>
      <c r="G581" s="19"/>
      <c r="H581" s="19">
        <v>530000</v>
      </c>
      <c r="I581" s="19">
        <v>-530000</v>
      </c>
      <c r="J581" s="20">
        <v>32</v>
      </c>
    </row>
    <row r="582" spans="1:10" x14ac:dyDescent="0.25">
      <c r="A582" s="18">
        <v>46477</v>
      </c>
      <c r="B582" s="18">
        <v>46477</v>
      </c>
      <c r="C582" s="11" t="s">
        <v>273</v>
      </c>
      <c r="D582" s="11" t="s">
        <v>209</v>
      </c>
      <c r="E582" s="13" t="s">
        <v>210</v>
      </c>
      <c r="F582" s="13" t="s">
        <v>234</v>
      </c>
      <c r="G582" s="19">
        <v>55000</v>
      </c>
      <c r="H582" s="19"/>
      <c r="I582" s="19">
        <v>55000</v>
      </c>
      <c r="J582" s="20">
        <v>32</v>
      </c>
    </row>
    <row r="583" spans="1:10" x14ac:dyDescent="0.25">
      <c r="A583" s="18">
        <v>46477</v>
      </c>
      <c r="B583" s="18">
        <v>46477</v>
      </c>
      <c r="C583" s="11" t="s">
        <v>273</v>
      </c>
      <c r="D583" s="11" t="s">
        <v>205</v>
      </c>
      <c r="E583" s="13" t="s">
        <v>206</v>
      </c>
      <c r="F583" s="13" t="s">
        <v>234</v>
      </c>
      <c r="G583" s="19">
        <v>48000</v>
      </c>
      <c r="H583" s="19"/>
      <c r="I583" s="19">
        <v>48000</v>
      </c>
      <c r="J583" s="20">
        <v>32</v>
      </c>
    </row>
    <row r="584" spans="1:10" x14ac:dyDescent="0.25">
      <c r="A584" s="18">
        <v>46477</v>
      </c>
      <c r="B584" s="18">
        <v>46477</v>
      </c>
      <c r="C584" s="11" t="s">
        <v>273</v>
      </c>
      <c r="D584" s="11" t="s">
        <v>207</v>
      </c>
      <c r="E584" s="13" t="s">
        <v>208</v>
      </c>
      <c r="F584" s="13" t="s">
        <v>234</v>
      </c>
      <c r="G584" s="19">
        <v>15000</v>
      </c>
      <c r="H584" s="19"/>
      <c r="I584" s="19">
        <v>15000</v>
      </c>
      <c r="J584" s="20">
        <v>32</v>
      </c>
    </row>
    <row r="585" spans="1:10" x14ac:dyDescent="0.25">
      <c r="A585" s="18">
        <v>46477</v>
      </c>
      <c r="B585" s="18">
        <v>46477</v>
      </c>
      <c r="C585" s="11" t="s">
        <v>273</v>
      </c>
      <c r="D585" s="11" t="s">
        <v>211</v>
      </c>
      <c r="E585" s="13" t="s">
        <v>212</v>
      </c>
      <c r="F585" s="13" t="s">
        <v>234</v>
      </c>
      <c r="G585" s="19">
        <v>7500</v>
      </c>
      <c r="H585" s="19"/>
      <c r="I585" s="19">
        <v>7500</v>
      </c>
      <c r="J585" s="20">
        <v>32</v>
      </c>
    </row>
    <row r="586" spans="1:10" x14ac:dyDescent="0.25">
      <c r="A586" s="18">
        <v>46477</v>
      </c>
      <c r="B586" s="18">
        <v>46477</v>
      </c>
      <c r="C586" s="11" t="s">
        <v>273</v>
      </c>
      <c r="D586" s="11" t="s">
        <v>215</v>
      </c>
      <c r="E586" s="13" t="s">
        <v>216</v>
      </c>
      <c r="F586" s="13" t="s">
        <v>234</v>
      </c>
      <c r="G586" s="19">
        <v>8000</v>
      </c>
      <c r="H586" s="19"/>
      <c r="I586" s="19">
        <v>8000</v>
      </c>
      <c r="J586" s="20">
        <v>32</v>
      </c>
    </row>
    <row r="587" spans="1:10" x14ac:dyDescent="0.25">
      <c r="A587" s="18">
        <v>46477</v>
      </c>
      <c r="B587" s="18">
        <v>46477</v>
      </c>
      <c r="C587" s="11" t="s">
        <v>273</v>
      </c>
      <c r="D587" s="11" t="s">
        <v>166</v>
      </c>
      <c r="E587" s="13" t="s">
        <v>167</v>
      </c>
      <c r="F587" s="13" t="s">
        <v>234</v>
      </c>
      <c r="G587" s="19"/>
      <c r="H587" s="19">
        <v>133500</v>
      </c>
      <c r="I587" s="19">
        <v>-133500</v>
      </c>
      <c r="J587" s="20">
        <v>32</v>
      </c>
    </row>
    <row r="588" spans="1:10" x14ac:dyDescent="0.25">
      <c r="A588" s="18">
        <v>46477</v>
      </c>
      <c r="B588" s="18">
        <v>46477</v>
      </c>
      <c r="C588" s="11" t="s">
        <v>273</v>
      </c>
      <c r="D588" s="11" t="s">
        <v>166</v>
      </c>
      <c r="E588" s="13" t="s">
        <v>167</v>
      </c>
      <c r="F588" s="13" t="s">
        <v>234</v>
      </c>
      <c r="G588" s="19">
        <v>133500</v>
      </c>
      <c r="H588" s="19"/>
      <c r="I588" s="19">
        <v>133500</v>
      </c>
      <c r="J588" s="20">
        <v>32</v>
      </c>
    </row>
    <row r="589" spans="1:10" x14ac:dyDescent="0.25">
      <c r="A589" s="18">
        <v>46477</v>
      </c>
      <c r="B589" s="18">
        <v>46477</v>
      </c>
      <c r="C589" s="11" t="s">
        <v>273</v>
      </c>
      <c r="D589" s="11" t="s">
        <v>145</v>
      </c>
      <c r="E589" s="13" t="s">
        <v>146</v>
      </c>
      <c r="F589" s="13" t="s">
        <v>234</v>
      </c>
      <c r="G589" s="19"/>
      <c r="H589" s="19">
        <v>133500</v>
      </c>
      <c r="I589" s="19">
        <v>-133500</v>
      </c>
      <c r="J589" s="20">
        <v>32</v>
      </c>
    </row>
    <row r="590" spans="1:10" x14ac:dyDescent="0.25">
      <c r="A590" s="18">
        <v>46477</v>
      </c>
      <c r="B590" s="18">
        <v>46477</v>
      </c>
      <c r="C590" s="11" t="s">
        <v>273</v>
      </c>
      <c r="D590" s="11" t="s">
        <v>151</v>
      </c>
      <c r="E590" s="13" t="s">
        <v>152</v>
      </c>
      <c r="F590" s="13" t="s">
        <v>252</v>
      </c>
      <c r="G590" s="19">
        <v>736472.54</v>
      </c>
      <c r="H590" s="19"/>
      <c r="I590" s="19">
        <v>736472.54</v>
      </c>
      <c r="J590" s="20">
        <v>32</v>
      </c>
    </row>
    <row r="591" spans="1:10" x14ac:dyDescent="0.25">
      <c r="A591" s="18">
        <v>46477</v>
      </c>
      <c r="B591" s="18">
        <v>46477</v>
      </c>
      <c r="C591" s="11" t="s">
        <v>273</v>
      </c>
      <c r="D591" s="11" t="s">
        <v>188</v>
      </c>
      <c r="E591" s="13" t="s">
        <v>189</v>
      </c>
      <c r="F591" s="13" t="s">
        <v>236</v>
      </c>
      <c r="G591" s="19"/>
      <c r="H591" s="19">
        <v>736472.54</v>
      </c>
      <c r="I591" s="19">
        <v>-736472.54</v>
      </c>
      <c r="J591" s="20">
        <v>32</v>
      </c>
    </row>
    <row r="592" spans="1:10" x14ac:dyDescent="0.25">
      <c r="A592" s="18">
        <v>46477</v>
      </c>
      <c r="B592" s="18">
        <v>46477</v>
      </c>
      <c r="C592" s="11" t="s">
        <v>273</v>
      </c>
      <c r="D592" s="11" t="s">
        <v>153</v>
      </c>
      <c r="E592" s="13" t="s">
        <v>154</v>
      </c>
      <c r="F592" s="13" t="s">
        <v>240</v>
      </c>
      <c r="G592" s="19">
        <v>6000000</v>
      </c>
      <c r="H592" s="19"/>
      <c r="I592" s="19">
        <v>6000000</v>
      </c>
      <c r="J592" s="20">
        <v>32</v>
      </c>
    </row>
    <row r="593" spans="1:10" x14ac:dyDescent="0.25">
      <c r="A593" s="18">
        <v>46477</v>
      </c>
      <c r="B593" s="18">
        <v>46477</v>
      </c>
      <c r="C593" s="11" t="s">
        <v>273</v>
      </c>
      <c r="D593" s="11" t="s">
        <v>219</v>
      </c>
      <c r="E593" s="13" t="s">
        <v>220</v>
      </c>
      <c r="F593" s="13" t="s">
        <v>240</v>
      </c>
      <c r="G593" s="19"/>
      <c r="H593" s="19">
        <v>6000000</v>
      </c>
      <c r="I593" s="19">
        <v>-6000000</v>
      </c>
      <c r="J593" s="20">
        <v>32</v>
      </c>
    </row>
    <row r="594" spans="1:10" x14ac:dyDescent="0.25">
      <c r="A594" s="18">
        <v>46568</v>
      </c>
      <c r="B594" s="18">
        <v>46568</v>
      </c>
      <c r="C594" s="11" t="s">
        <v>274</v>
      </c>
      <c r="D594" s="11" t="s">
        <v>145</v>
      </c>
      <c r="E594" s="13" t="s">
        <v>146</v>
      </c>
      <c r="F594" s="13" t="s">
        <v>231</v>
      </c>
      <c r="G594" s="19">
        <v>400000</v>
      </c>
      <c r="H594" s="19"/>
      <c r="I594" s="19">
        <v>400000</v>
      </c>
      <c r="J594" s="20">
        <v>33</v>
      </c>
    </row>
    <row r="595" spans="1:10" x14ac:dyDescent="0.25">
      <c r="A595" s="18">
        <v>46568</v>
      </c>
      <c r="B595" s="18">
        <v>46568</v>
      </c>
      <c r="C595" s="11" t="s">
        <v>274</v>
      </c>
      <c r="D595" s="11" t="s">
        <v>176</v>
      </c>
      <c r="E595" s="13" t="s">
        <v>177</v>
      </c>
      <c r="F595" s="13" t="s">
        <v>231</v>
      </c>
      <c r="G595" s="19"/>
      <c r="H595" s="19">
        <v>400000</v>
      </c>
      <c r="I595" s="19">
        <v>-400000</v>
      </c>
      <c r="J595" s="20">
        <v>33</v>
      </c>
    </row>
    <row r="596" spans="1:10" x14ac:dyDescent="0.25">
      <c r="A596" s="18">
        <v>46568</v>
      </c>
      <c r="B596" s="18">
        <v>46568</v>
      </c>
      <c r="C596" s="11" t="s">
        <v>274</v>
      </c>
      <c r="D596" s="11" t="s">
        <v>196</v>
      </c>
      <c r="E596" s="13" t="s">
        <v>197</v>
      </c>
      <c r="F596" s="13" t="s">
        <v>233</v>
      </c>
      <c r="G596" s="19">
        <v>355000</v>
      </c>
      <c r="H596" s="19"/>
      <c r="I596" s="19">
        <v>355000</v>
      </c>
      <c r="J596" s="20">
        <v>33</v>
      </c>
    </row>
    <row r="597" spans="1:10" x14ac:dyDescent="0.25">
      <c r="A597" s="18">
        <v>46568</v>
      </c>
      <c r="B597" s="18">
        <v>46568</v>
      </c>
      <c r="C597" s="11" t="s">
        <v>274</v>
      </c>
      <c r="D597" s="11" t="s">
        <v>170</v>
      </c>
      <c r="E597" s="13" t="s">
        <v>171</v>
      </c>
      <c r="F597" s="13" t="s">
        <v>233</v>
      </c>
      <c r="G597" s="19"/>
      <c r="H597" s="19">
        <v>355000</v>
      </c>
      <c r="I597" s="19">
        <v>-355000</v>
      </c>
      <c r="J597" s="20">
        <v>33</v>
      </c>
    </row>
    <row r="598" spans="1:10" x14ac:dyDescent="0.25">
      <c r="A598" s="18">
        <v>46568</v>
      </c>
      <c r="B598" s="18">
        <v>46568</v>
      </c>
      <c r="C598" s="11" t="s">
        <v>274</v>
      </c>
      <c r="D598" s="11" t="s">
        <v>170</v>
      </c>
      <c r="E598" s="13" t="s">
        <v>171</v>
      </c>
      <c r="F598" s="13" t="s">
        <v>233</v>
      </c>
      <c r="G598" s="19">
        <v>355000</v>
      </c>
      <c r="H598" s="19"/>
      <c r="I598" s="19">
        <v>355000</v>
      </c>
      <c r="J598" s="20">
        <v>33</v>
      </c>
    </row>
    <row r="599" spans="1:10" x14ac:dyDescent="0.25">
      <c r="A599" s="18">
        <v>46568</v>
      </c>
      <c r="B599" s="18">
        <v>46568</v>
      </c>
      <c r="C599" s="11" t="s">
        <v>274</v>
      </c>
      <c r="D599" s="11" t="s">
        <v>145</v>
      </c>
      <c r="E599" s="13" t="s">
        <v>146</v>
      </c>
      <c r="F599" s="13" t="s">
        <v>233</v>
      </c>
      <c r="G599" s="19"/>
      <c r="H599" s="19">
        <v>355000</v>
      </c>
      <c r="I599" s="19">
        <v>-355000</v>
      </c>
      <c r="J599" s="20">
        <v>33</v>
      </c>
    </row>
    <row r="600" spans="1:10" x14ac:dyDescent="0.25">
      <c r="A600" s="18">
        <v>46568</v>
      </c>
      <c r="B600" s="18">
        <v>46568</v>
      </c>
      <c r="C600" s="11" t="s">
        <v>274</v>
      </c>
      <c r="D600" s="11" t="s">
        <v>209</v>
      </c>
      <c r="E600" s="13" t="s">
        <v>210</v>
      </c>
      <c r="F600" s="13" t="s">
        <v>234</v>
      </c>
      <c r="G600" s="19">
        <v>55000</v>
      </c>
      <c r="H600" s="19"/>
      <c r="I600" s="19">
        <v>55000</v>
      </c>
      <c r="J600" s="20">
        <v>33</v>
      </c>
    </row>
    <row r="601" spans="1:10" x14ac:dyDescent="0.25">
      <c r="A601" s="18">
        <v>46568</v>
      </c>
      <c r="B601" s="18">
        <v>46568</v>
      </c>
      <c r="C601" s="11" t="s">
        <v>274</v>
      </c>
      <c r="D601" s="11" t="s">
        <v>205</v>
      </c>
      <c r="E601" s="13" t="s">
        <v>206</v>
      </c>
      <c r="F601" s="13" t="s">
        <v>234</v>
      </c>
      <c r="G601" s="19">
        <v>48000</v>
      </c>
      <c r="H601" s="19"/>
      <c r="I601" s="19">
        <v>48000</v>
      </c>
      <c r="J601" s="20">
        <v>33</v>
      </c>
    </row>
    <row r="602" spans="1:10" x14ac:dyDescent="0.25">
      <c r="A602" s="18">
        <v>46568</v>
      </c>
      <c r="B602" s="18">
        <v>46568</v>
      </c>
      <c r="C602" s="11" t="s">
        <v>274</v>
      </c>
      <c r="D602" s="11" t="s">
        <v>207</v>
      </c>
      <c r="E602" s="13" t="s">
        <v>208</v>
      </c>
      <c r="F602" s="13" t="s">
        <v>234</v>
      </c>
      <c r="G602" s="19">
        <v>15000</v>
      </c>
      <c r="H602" s="19"/>
      <c r="I602" s="19">
        <v>15000</v>
      </c>
      <c r="J602" s="20">
        <v>33</v>
      </c>
    </row>
    <row r="603" spans="1:10" x14ac:dyDescent="0.25">
      <c r="A603" s="18">
        <v>46568</v>
      </c>
      <c r="B603" s="18">
        <v>46568</v>
      </c>
      <c r="C603" s="11" t="s">
        <v>274</v>
      </c>
      <c r="D603" s="11" t="s">
        <v>211</v>
      </c>
      <c r="E603" s="13" t="s">
        <v>212</v>
      </c>
      <c r="F603" s="13" t="s">
        <v>234</v>
      </c>
      <c r="G603" s="19">
        <v>7500</v>
      </c>
      <c r="H603" s="19"/>
      <c r="I603" s="19">
        <v>7500</v>
      </c>
      <c r="J603" s="20">
        <v>33</v>
      </c>
    </row>
    <row r="604" spans="1:10" x14ac:dyDescent="0.25">
      <c r="A604" s="18">
        <v>46568</v>
      </c>
      <c r="B604" s="18">
        <v>46568</v>
      </c>
      <c r="C604" s="11" t="s">
        <v>274</v>
      </c>
      <c r="D604" s="11" t="s">
        <v>215</v>
      </c>
      <c r="E604" s="13" t="s">
        <v>216</v>
      </c>
      <c r="F604" s="13" t="s">
        <v>234</v>
      </c>
      <c r="G604" s="19">
        <v>8000</v>
      </c>
      <c r="H604" s="19"/>
      <c r="I604" s="19">
        <v>8000</v>
      </c>
      <c r="J604" s="20">
        <v>33</v>
      </c>
    </row>
    <row r="605" spans="1:10" x14ac:dyDescent="0.25">
      <c r="A605" s="18">
        <v>46568</v>
      </c>
      <c r="B605" s="18">
        <v>46568</v>
      </c>
      <c r="C605" s="11" t="s">
        <v>274</v>
      </c>
      <c r="D605" s="11" t="s">
        <v>166</v>
      </c>
      <c r="E605" s="13" t="s">
        <v>167</v>
      </c>
      <c r="F605" s="13" t="s">
        <v>234</v>
      </c>
      <c r="G605" s="19"/>
      <c r="H605" s="19">
        <v>133500</v>
      </c>
      <c r="I605" s="19">
        <v>-133500</v>
      </c>
      <c r="J605" s="20">
        <v>33</v>
      </c>
    </row>
    <row r="606" spans="1:10" x14ac:dyDescent="0.25">
      <c r="A606" s="18">
        <v>46568</v>
      </c>
      <c r="B606" s="18">
        <v>46568</v>
      </c>
      <c r="C606" s="11" t="s">
        <v>274</v>
      </c>
      <c r="D606" s="11" t="s">
        <v>166</v>
      </c>
      <c r="E606" s="13" t="s">
        <v>167</v>
      </c>
      <c r="F606" s="13" t="s">
        <v>234</v>
      </c>
      <c r="G606" s="19">
        <v>133500</v>
      </c>
      <c r="H606" s="19"/>
      <c r="I606" s="19">
        <v>133500</v>
      </c>
      <c r="J606" s="20">
        <v>33</v>
      </c>
    </row>
    <row r="607" spans="1:10" x14ac:dyDescent="0.25">
      <c r="A607" s="18">
        <v>46568</v>
      </c>
      <c r="B607" s="18">
        <v>46568</v>
      </c>
      <c r="C607" s="11" t="s">
        <v>274</v>
      </c>
      <c r="D607" s="11" t="s">
        <v>145</v>
      </c>
      <c r="E607" s="13" t="s">
        <v>146</v>
      </c>
      <c r="F607" s="13" t="s">
        <v>234</v>
      </c>
      <c r="G607" s="19"/>
      <c r="H607" s="19">
        <v>133500</v>
      </c>
      <c r="I607" s="19">
        <v>-133500</v>
      </c>
      <c r="J607" s="20">
        <v>33</v>
      </c>
    </row>
    <row r="608" spans="1:10" x14ac:dyDescent="0.25">
      <c r="A608" s="18">
        <v>46568</v>
      </c>
      <c r="B608" s="18">
        <v>46568</v>
      </c>
      <c r="C608" s="11" t="s">
        <v>274</v>
      </c>
      <c r="D608" s="11" t="s">
        <v>151</v>
      </c>
      <c r="E608" s="13" t="s">
        <v>152</v>
      </c>
      <c r="F608" s="13" t="s">
        <v>252</v>
      </c>
      <c r="G608" s="19">
        <v>758566.72</v>
      </c>
      <c r="H608" s="19"/>
      <c r="I608" s="19">
        <v>758566.72</v>
      </c>
      <c r="J608" s="20">
        <v>33</v>
      </c>
    </row>
    <row r="609" spans="1:10" x14ac:dyDescent="0.25">
      <c r="A609" s="18">
        <v>46568</v>
      </c>
      <c r="B609" s="18">
        <v>46568</v>
      </c>
      <c r="C609" s="11" t="s">
        <v>274</v>
      </c>
      <c r="D609" s="11" t="s">
        <v>188</v>
      </c>
      <c r="E609" s="13" t="s">
        <v>189</v>
      </c>
      <c r="F609" s="13" t="s">
        <v>236</v>
      </c>
      <c r="G609" s="19"/>
      <c r="H609" s="19">
        <v>758566.72</v>
      </c>
      <c r="I609" s="19">
        <v>-758566.72</v>
      </c>
      <c r="J609" s="20">
        <v>33</v>
      </c>
    </row>
    <row r="610" spans="1:10" x14ac:dyDescent="0.25">
      <c r="A610" s="18">
        <v>46568</v>
      </c>
      <c r="B610" s="18">
        <v>46568</v>
      </c>
      <c r="C610" s="11" t="s">
        <v>274</v>
      </c>
      <c r="D610" s="11" t="s">
        <v>145</v>
      </c>
      <c r="E610" s="13" t="s">
        <v>146</v>
      </c>
      <c r="F610" s="13" t="s">
        <v>262</v>
      </c>
      <c r="G610" s="19">
        <v>92000000</v>
      </c>
      <c r="H610" s="19"/>
      <c r="I610" s="19">
        <v>92000000</v>
      </c>
      <c r="J610" s="20">
        <v>33</v>
      </c>
    </row>
    <row r="611" spans="1:10" x14ac:dyDescent="0.25">
      <c r="A611" s="18">
        <v>46568</v>
      </c>
      <c r="B611" s="18">
        <v>46568</v>
      </c>
      <c r="C611" s="11" t="s">
        <v>274</v>
      </c>
      <c r="D611" s="11" t="s">
        <v>151</v>
      </c>
      <c r="E611" s="13" t="s">
        <v>152</v>
      </c>
      <c r="F611" s="13" t="s">
        <v>262</v>
      </c>
      <c r="G611" s="19"/>
      <c r="H611" s="19">
        <v>35000000</v>
      </c>
      <c r="I611" s="19">
        <v>-35000000</v>
      </c>
      <c r="J611" s="20">
        <v>33</v>
      </c>
    </row>
    <row r="612" spans="1:10" x14ac:dyDescent="0.25">
      <c r="A612" s="18">
        <v>46568</v>
      </c>
      <c r="B612" s="18">
        <v>46568</v>
      </c>
      <c r="C612" s="11" t="s">
        <v>274</v>
      </c>
      <c r="D612" s="11" t="s">
        <v>217</v>
      </c>
      <c r="E612" s="13" t="s">
        <v>218</v>
      </c>
      <c r="F612" s="13" t="s">
        <v>262</v>
      </c>
      <c r="G612" s="19"/>
      <c r="H612" s="19">
        <v>57000000</v>
      </c>
      <c r="I612" s="19">
        <v>-57000000</v>
      </c>
      <c r="J612" s="20">
        <v>33</v>
      </c>
    </row>
    <row r="613" spans="1:10" x14ac:dyDescent="0.25">
      <c r="A613" s="18">
        <v>46568</v>
      </c>
      <c r="B613" s="18">
        <v>46568</v>
      </c>
      <c r="C613" s="11" t="s">
        <v>274</v>
      </c>
      <c r="D613" s="11" t="s">
        <v>219</v>
      </c>
      <c r="E613" s="13" t="s">
        <v>220</v>
      </c>
      <c r="F613" s="13" t="s">
        <v>240</v>
      </c>
      <c r="G613" s="19">
        <v>25000000</v>
      </c>
      <c r="H613" s="19"/>
      <c r="I613" s="19">
        <v>25000000</v>
      </c>
      <c r="J613" s="20">
        <v>33</v>
      </c>
    </row>
    <row r="614" spans="1:10" x14ac:dyDescent="0.25">
      <c r="A614" s="18">
        <v>46568</v>
      </c>
      <c r="B614" s="18">
        <v>46568</v>
      </c>
      <c r="C614" s="11" t="s">
        <v>274</v>
      </c>
      <c r="D614" s="11" t="s">
        <v>153</v>
      </c>
      <c r="E614" s="13" t="s">
        <v>154</v>
      </c>
      <c r="F614" s="13" t="s">
        <v>240</v>
      </c>
      <c r="G614" s="19"/>
      <c r="H614" s="19">
        <v>25000000</v>
      </c>
      <c r="I614" s="19">
        <v>-25000000</v>
      </c>
      <c r="J614" s="20">
        <v>33</v>
      </c>
    </row>
    <row r="615" spans="1:10" x14ac:dyDescent="0.25">
      <c r="A615" s="18">
        <v>46568</v>
      </c>
      <c r="B615" s="18">
        <v>46568</v>
      </c>
      <c r="C615" s="11" t="s">
        <v>274</v>
      </c>
      <c r="D615" s="11" t="s">
        <v>183</v>
      </c>
      <c r="E615" s="13" t="s">
        <v>184</v>
      </c>
      <c r="F615" s="13" t="s">
        <v>263</v>
      </c>
      <c r="G615" s="19">
        <v>89200000</v>
      </c>
      <c r="H615" s="19"/>
      <c r="I615" s="19">
        <v>89200000</v>
      </c>
      <c r="J615" s="20">
        <v>33</v>
      </c>
    </row>
    <row r="616" spans="1:10" x14ac:dyDescent="0.25">
      <c r="A616" s="18">
        <v>46568</v>
      </c>
      <c r="B616" s="18">
        <v>46568</v>
      </c>
      <c r="C616" s="11" t="s">
        <v>274</v>
      </c>
      <c r="D616" s="11" t="s">
        <v>145</v>
      </c>
      <c r="E616" s="13" t="s">
        <v>146</v>
      </c>
      <c r="F616" s="13" t="s">
        <v>263</v>
      </c>
      <c r="G616" s="19"/>
      <c r="H616" s="19">
        <v>89200000</v>
      </c>
      <c r="I616" s="19">
        <v>-89200000</v>
      </c>
      <c r="J616" s="20">
        <v>33</v>
      </c>
    </row>
    <row r="617" spans="1:10" x14ac:dyDescent="0.25">
      <c r="A617" s="18">
        <v>46660</v>
      </c>
      <c r="B617" s="18">
        <v>46660</v>
      </c>
      <c r="C617" s="11" t="s">
        <v>275</v>
      </c>
      <c r="D617" s="11" t="s">
        <v>196</v>
      </c>
      <c r="E617" s="13" t="s">
        <v>197</v>
      </c>
      <c r="F617" s="13" t="s">
        <v>233</v>
      </c>
      <c r="G617" s="19">
        <v>355000</v>
      </c>
      <c r="H617" s="19"/>
      <c r="I617" s="19">
        <v>355000</v>
      </c>
      <c r="J617" s="20">
        <v>34</v>
      </c>
    </row>
    <row r="618" spans="1:10" x14ac:dyDescent="0.25">
      <c r="A618" s="18">
        <v>46660</v>
      </c>
      <c r="B618" s="18">
        <v>46660</v>
      </c>
      <c r="C618" s="11" t="s">
        <v>275</v>
      </c>
      <c r="D618" s="11" t="s">
        <v>170</v>
      </c>
      <c r="E618" s="13" t="s">
        <v>171</v>
      </c>
      <c r="F618" s="13" t="s">
        <v>233</v>
      </c>
      <c r="G618" s="19"/>
      <c r="H618" s="19">
        <v>355000</v>
      </c>
      <c r="I618" s="19">
        <v>-355000</v>
      </c>
      <c r="J618" s="20">
        <v>34</v>
      </c>
    </row>
    <row r="619" spans="1:10" x14ac:dyDescent="0.25">
      <c r="A619" s="18">
        <v>46660</v>
      </c>
      <c r="B619" s="18">
        <v>46660</v>
      </c>
      <c r="C619" s="11" t="s">
        <v>275</v>
      </c>
      <c r="D619" s="11" t="s">
        <v>170</v>
      </c>
      <c r="E619" s="13" t="s">
        <v>171</v>
      </c>
      <c r="F619" s="13" t="s">
        <v>233</v>
      </c>
      <c r="G619" s="19">
        <v>355000</v>
      </c>
      <c r="H619" s="19"/>
      <c r="I619" s="19">
        <v>355000</v>
      </c>
      <c r="J619" s="20">
        <v>34</v>
      </c>
    </row>
    <row r="620" spans="1:10" x14ac:dyDescent="0.25">
      <c r="A620" s="18">
        <v>46660</v>
      </c>
      <c r="B620" s="18">
        <v>46660</v>
      </c>
      <c r="C620" s="11" t="s">
        <v>275</v>
      </c>
      <c r="D620" s="11" t="s">
        <v>145</v>
      </c>
      <c r="E620" s="13" t="s">
        <v>146</v>
      </c>
      <c r="F620" s="13" t="s">
        <v>233</v>
      </c>
      <c r="G620" s="19"/>
      <c r="H620" s="19">
        <v>355000</v>
      </c>
      <c r="I620" s="19">
        <v>-355000</v>
      </c>
      <c r="J620" s="20">
        <v>34</v>
      </c>
    </row>
    <row r="621" spans="1:10" x14ac:dyDescent="0.25">
      <c r="A621" s="18">
        <v>46660</v>
      </c>
      <c r="B621" s="18">
        <v>46660</v>
      </c>
      <c r="C621" s="11" t="s">
        <v>275</v>
      </c>
      <c r="D621" s="11" t="s">
        <v>209</v>
      </c>
      <c r="E621" s="13" t="s">
        <v>210</v>
      </c>
      <c r="F621" s="13" t="s">
        <v>234</v>
      </c>
      <c r="G621" s="19">
        <v>55000</v>
      </c>
      <c r="H621" s="19"/>
      <c r="I621" s="19">
        <v>55000</v>
      </c>
      <c r="J621" s="20">
        <v>34</v>
      </c>
    </row>
    <row r="622" spans="1:10" x14ac:dyDescent="0.25">
      <c r="A622" s="18">
        <v>46660</v>
      </c>
      <c r="B622" s="18">
        <v>46660</v>
      </c>
      <c r="C622" s="11" t="s">
        <v>275</v>
      </c>
      <c r="D622" s="11" t="s">
        <v>205</v>
      </c>
      <c r="E622" s="13" t="s">
        <v>206</v>
      </c>
      <c r="F622" s="13" t="s">
        <v>234</v>
      </c>
      <c r="G622" s="19">
        <v>48000</v>
      </c>
      <c r="H622" s="19"/>
      <c r="I622" s="19">
        <v>48000</v>
      </c>
      <c r="J622" s="20">
        <v>34</v>
      </c>
    </row>
    <row r="623" spans="1:10" x14ac:dyDescent="0.25">
      <c r="A623" s="18">
        <v>46660</v>
      </c>
      <c r="B623" s="18">
        <v>46660</v>
      </c>
      <c r="C623" s="11" t="s">
        <v>275</v>
      </c>
      <c r="D623" s="11" t="s">
        <v>207</v>
      </c>
      <c r="E623" s="13" t="s">
        <v>208</v>
      </c>
      <c r="F623" s="13" t="s">
        <v>234</v>
      </c>
      <c r="G623" s="19">
        <v>15000</v>
      </c>
      <c r="H623" s="19"/>
      <c r="I623" s="19">
        <v>15000</v>
      </c>
      <c r="J623" s="20">
        <v>34</v>
      </c>
    </row>
    <row r="624" spans="1:10" x14ac:dyDescent="0.25">
      <c r="A624" s="18">
        <v>46660</v>
      </c>
      <c r="B624" s="18">
        <v>46660</v>
      </c>
      <c r="C624" s="11" t="s">
        <v>275</v>
      </c>
      <c r="D624" s="11" t="s">
        <v>211</v>
      </c>
      <c r="E624" s="13" t="s">
        <v>212</v>
      </c>
      <c r="F624" s="13" t="s">
        <v>234</v>
      </c>
      <c r="G624" s="19">
        <v>7500</v>
      </c>
      <c r="H624" s="19"/>
      <c r="I624" s="19">
        <v>7500</v>
      </c>
      <c r="J624" s="20">
        <v>34</v>
      </c>
    </row>
    <row r="625" spans="1:10" x14ac:dyDescent="0.25">
      <c r="A625" s="18">
        <v>46660</v>
      </c>
      <c r="B625" s="18">
        <v>46660</v>
      </c>
      <c r="C625" s="11" t="s">
        <v>275</v>
      </c>
      <c r="D625" s="11" t="s">
        <v>215</v>
      </c>
      <c r="E625" s="13" t="s">
        <v>216</v>
      </c>
      <c r="F625" s="13" t="s">
        <v>234</v>
      </c>
      <c r="G625" s="19">
        <v>8000</v>
      </c>
      <c r="H625" s="19"/>
      <c r="I625" s="19">
        <v>8000</v>
      </c>
      <c r="J625" s="20">
        <v>34</v>
      </c>
    </row>
    <row r="626" spans="1:10" x14ac:dyDescent="0.25">
      <c r="A626" s="18">
        <v>46660</v>
      </c>
      <c r="B626" s="18">
        <v>46660</v>
      </c>
      <c r="C626" s="11" t="s">
        <v>275</v>
      </c>
      <c r="D626" s="11" t="s">
        <v>166</v>
      </c>
      <c r="E626" s="13" t="s">
        <v>167</v>
      </c>
      <c r="F626" s="13" t="s">
        <v>234</v>
      </c>
      <c r="G626" s="19"/>
      <c r="H626" s="19">
        <v>133500</v>
      </c>
      <c r="I626" s="19">
        <v>-133500</v>
      </c>
      <c r="J626" s="20">
        <v>34</v>
      </c>
    </row>
    <row r="627" spans="1:10" x14ac:dyDescent="0.25">
      <c r="A627" s="18">
        <v>46660</v>
      </c>
      <c r="B627" s="18">
        <v>46660</v>
      </c>
      <c r="C627" s="11" t="s">
        <v>275</v>
      </c>
      <c r="D627" s="11" t="s">
        <v>166</v>
      </c>
      <c r="E627" s="13" t="s">
        <v>167</v>
      </c>
      <c r="F627" s="13" t="s">
        <v>234</v>
      </c>
      <c r="G627" s="19">
        <v>133500</v>
      </c>
      <c r="H627" s="19"/>
      <c r="I627" s="19">
        <v>133500</v>
      </c>
      <c r="J627" s="20">
        <v>34</v>
      </c>
    </row>
    <row r="628" spans="1:10" x14ac:dyDescent="0.25">
      <c r="A628" s="18">
        <v>46660</v>
      </c>
      <c r="B628" s="18">
        <v>46660</v>
      </c>
      <c r="C628" s="11" t="s">
        <v>275</v>
      </c>
      <c r="D628" s="11" t="s">
        <v>145</v>
      </c>
      <c r="E628" s="13" t="s">
        <v>146</v>
      </c>
      <c r="F628" s="13" t="s">
        <v>234</v>
      </c>
      <c r="G628" s="19"/>
      <c r="H628" s="19">
        <v>133500</v>
      </c>
      <c r="I628" s="19">
        <v>-133500</v>
      </c>
      <c r="J628" s="20">
        <v>34</v>
      </c>
    </row>
    <row r="629" spans="1:10" x14ac:dyDescent="0.25">
      <c r="A629" s="18">
        <v>46660</v>
      </c>
      <c r="B629" s="18">
        <v>46660</v>
      </c>
      <c r="C629" s="11" t="s">
        <v>275</v>
      </c>
      <c r="D629" s="11" t="s">
        <v>151</v>
      </c>
      <c r="E629" s="13" t="s">
        <v>152</v>
      </c>
      <c r="F629" s="13" t="s">
        <v>252</v>
      </c>
      <c r="G629" s="19">
        <v>781323.72</v>
      </c>
      <c r="H629" s="19"/>
      <c r="I629" s="19">
        <v>781323.72</v>
      </c>
      <c r="J629" s="20">
        <v>34</v>
      </c>
    </row>
    <row r="630" spans="1:10" x14ac:dyDescent="0.25">
      <c r="A630" s="18">
        <v>46660</v>
      </c>
      <c r="B630" s="18">
        <v>46660</v>
      </c>
      <c r="C630" s="11" t="s">
        <v>275</v>
      </c>
      <c r="D630" s="11" t="s">
        <v>188</v>
      </c>
      <c r="E630" s="13" t="s">
        <v>189</v>
      </c>
      <c r="F630" s="13" t="s">
        <v>236</v>
      </c>
      <c r="G630" s="19"/>
      <c r="H630" s="19">
        <v>781323.72</v>
      </c>
      <c r="I630" s="19">
        <v>-781323.72</v>
      </c>
      <c r="J630" s="20">
        <v>34</v>
      </c>
    </row>
    <row r="631" spans="1:10" x14ac:dyDescent="0.25">
      <c r="A631" s="18">
        <v>46752</v>
      </c>
      <c r="B631" s="18">
        <v>46752</v>
      </c>
      <c r="C631" s="11" t="s">
        <v>276</v>
      </c>
      <c r="D631" s="11" t="s">
        <v>196</v>
      </c>
      <c r="E631" s="13" t="s">
        <v>197</v>
      </c>
      <c r="F631" s="13" t="s">
        <v>233</v>
      </c>
      <c r="G631" s="19">
        <v>355000</v>
      </c>
      <c r="H631" s="19"/>
      <c r="I631" s="19">
        <v>355000</v>
      </c>
      <c r="J631" s="20">
        <v>35</v>
      </c>
    </row>
    <row r="632" spans="1:10" x14ac:dyDescent="0.25">
      <c r="A632" s="18">
        <v>46752</v>
      </c>
      <c r="B632" s="18">
        <v>46752</v>
      </c>
      <c r="C632" s="11" t="s">
        <v>276</v>
      </c>
      <c r="D632" s="11" t="s">
        <v>170</v>
      </c>
      <c r="E632" s="13" t="s">
        <v>171</v>
      </c>
      <c r="F632" s="13" t="s">
        <v>233</v>
      </c>
      <c r="G632" s="19"/>
      <c r="H632" s="19">
        <v>355000</v>
      </c>
      <c r="I632" s="19">
        <v>-355000</v>
      </c>
      <c r="J632" s="20">
        <v>35</v>
      </c>
    </row>
    <row r="633" spans="1:10" x14ac:dyDescent="0.25">
      <c r="A633" s="18">
        <v>46752</v>
      </c>
      <c r="B633" s="18">
        <v>46752</v>
      </c>
      <c r="C633" s="11" t="s">
        <v>276</v>
      </c>
      <c r="D633" s="11" t="s">
        <v>170</v>
      </c>
      <c r="E633" s="13" t="s">
        <v>171</v>
      </c>
      <c r="F633" s="13" t="s">
        <v>233</v>
      </c>
      <c r="G633" s="19">
        <v>355000</v>
      </c>
      <c r="H633" s="19"/>
      <c r="I633" s="19">
        <v>355000</v>
      </c>
      <c r="J633" s="20">
        <v>35</v>
      </c>
    </row>
    <row r="634" spans="1:10" x14ac:dyDescent="0.25">
      <c r="A634" s="18">
        <v>46752</v>
      </c>
      <c r="B634" s="18">
        <v>46752</v>
      </c>
      <c r="C634" s="11" t="s">
        <v>276</v>
      </c>
      <c r="D634" s="11" t="s">
        <v>145</v>
      </c>
      <c r="E634" s="13" t="s">
        <v>146</v>
      </c>
      <c r="F634" s="13" t="s">
        <v>233</v>
      </c>
      <c r="G634" s="19"/>
      <c r="H634" s="19">
        <v>355000</v>
      </c>
      <c r="I634" s="19">
        <v>-355000</v>
      </c>
      <c r="J634" s="20">
        <v>35</v>
      </c>
    </row>
    <row r="635" spans="1:10" x14ac:dyDescent="0.25">
      <c r="A635" s="18">
        <v>46752</v>
      </c>
      <c r="B635" s="18">
        <v>46752</v>
      </c>
      <c r="C635" s="11" t="s">
        <v>276</v>
      </c>
      <c r="D635" s="11" t="s">
        <v>209</v>
      </c>
      <c r="E635" s="13" t="s">
        <v>210</v>
      </c>
      <c r="F635" s="13" t="s">
        <v>234</v>
      </c>
      <c r="G635" s="19">
        <v>55000</v>
      </c>
      <c r="H635" s="19"/>
      <c r="I635" s="19">
        <v>55000</v>
      </c>
      <c r="J635" s="20">
        <v>35</v>
      </c>
    </row>
    <row r="636" spans="1:10" x14ac:dyDescent="0.25">
      <c r="A636" s="18">
        <v>46752</v>
      </c>
      <c r="B636" s="18">
        <v>46752</v>
      </c>
      <c r="C636" s="11" t="s">
        <v>276</v>
      </c>
      <c r="D636" s="11" t="s">
        <v>205</v>
      </c>
      <c r="E636" s="13" t="s">
        <v>206</v>
      </c>
      <c r="F636" s="13" t="s">
        <v>234</v>
      </c>
      <c r="G636" s="19">
        <v>48000</v>
      </c>
      <c r="H636" s="19"/>
      <c r="I636" s="19">
        <v>48000</v>
      </c>
      <c r="J636" s="20">
        <v>35</v>
      </c>
    </row>
    <row r="637" spans="1:10" x14ac:dyDescent="0.25">
      <c r="A637" s="18">
        <v>46752</v>
      </c>
      <c r="B637" s="18">
        <v>46752</v>
      </c>
      <c r="C637" s="11" t="s">
        <v>276</v>
      </c>
      <c r="D637" s="11" t="s">
        <v>207</v>
      </c>
      <c r="E637" s="13" t="s">
        <v>208</v>
      </c>
      <c r="F637" s="13" t="s">
        <v>234</v>
      </c>
      <c r="G637" s="19">
        <v>15000</v>
      </c>
      <c r="H637" s="19"/>
      <c r="I637" s="19">
        <v>15000</v>
      </c>
      <c r="J637" s="20">
        <v>35</v>
      </c>
    </row>
    <row r="638" spans="1:10" x14ac:dyDescent="0.25">
      <c r="A638" s="18">
        <v>46752</v>
      </c>
      <c r="B638" s="18">
        <v>46752</v>
      </c>
      <c r="C638" s="11" t="s">
        <v>276</v>
      </c>
      <c r="D638" s="11" t="s">
        <v>211</v>
      </c>
      <c r="E638" s="13" t="s">
        <v>212</v>
      </c>
      <c r="F638" s="13" t="s">
        <v>234</v>
      </c>
      <c r="G638" s="19">
        <v>7500</v>
      </c>
      <c r="H638" s="19"/>
      <c r="I638" s="19">
        <v>7500</v>
      </c>
      <c r="J638" s="20">
        <v>35</v>
      </c>
    </row>
    <row r="639" spans="1:10" x14ac:dyDescent="0.25">
      <c r="A639" s="18">
        <v>46752</v>
      </c>
      <c r="B639" s="18">
        <v>46752</v>
      </c>
      <c r="C639" s="11" t="s">
        <v>276</v>
      </c>
      <c r="D639" s="11" t="s">
        <v>215</v>
      </c>
      <c r="E639" s="13" t="s">
        <v>216</v>
      </c>
      <c r="F639" s="13" t="s">
        <v>234</v>
      </c>
      <c r="G639" s="19">
        <v>8000</v>
      </c>
      <c r="H639" s="19"/>
      <c r="I639" s="19">
        <v>8000</v>
      </c>
      <c r="J639" s="20">
        <v>35</v>
      </c>
    </row>
    <row r="640" spans="1:10" x14ac:dyDescent="0.25">
      <c r="A640" s="18">
        <v>46752</v>
      </c>
      <c r="B640" s="18">
        <v>46752</v>
      </c>
      <c r="C640" s="11" t="s">
        <v>276</v>
      </c>
      <c r="D640" s="11" t="s">
        <v>166</v>
      </c>
      <c r="E640" s="13" t="s">
        <v>167</v>
      </c>
      <c r="F640" s="13" t="s">
        <v>234</v>
      </c>
      <c r="G640" s="19"/>
      <c r="H640" s="19">
        <v>133500</v>
      </c>
      <c r="I640" s="19">
        <v>-133500</v>
      </c>
      <c r="J640" s="20">
        <v>35</v>
      </c>
    </row>
    <row r="641" spans="1:10" x14ac:dyDescent="0.25">
      <c r="A641" s="18">
        <v>46752</v>
      </c>
      <c r="B641" s="18">
        <v>46752</v>
      </c>
      <c r="C641" s="11" t="s">
        <v>276</v>
      </c>
      <c r="D641" s="11" t="s">
        <v>166</v>
      </c>
      <c r="E641" s="13" t="s">
        <v>167</v>
      </c>
      <c r="F641" s="13" t="s">
        <v>234</v>
      </c>
      <c r="G641" s="19">
        <v>133500</v>
      </c>
      <c r="H641" s="19"/>
      <c r="I641" s="19">
        <v>133500</v>
      </c>
      <c r="J641" s="20">
        <v>35</v>
      </c>
    </row>
    <row r="642" spans="1:10" x14ac:dyDescent="0.25">
      <c r="A642" s="18">
        <v>46752</v>
      </c>
      <c r="B642" s="18">
        <v>46752</v>
      </c>
      <c r="C642" s="11" t="s">
        <v>276</v>
      </c>
      <c r="D642" s="11" t="s">
        <v>145</v>
      </c>
      <c r="E642" s="13" t="s">
        <v>146</v>
      </c>
      <c r="F642" s="13" t="s">
        <v>234</v>
      </c>
      <c r="G642" s="19"/>
      <c r="H642" s="19">
        <v>133500</v>
      </c>
      <c r="I642" s="19">
        <v>-133500</v>
      </c>
      <c r="J642" s="20">
        <v>35</v>
      </c>
    </row>
    <row r="643" spans="1:10" x14ac:dyDescent="0.25">
      <c r="A643" s="18">
        <v>46752</v>
      </c>
      <c r="B643" s="18">
        <v>46752</v>
      </c>
      <c r="C643" s="11" t="s">
        <v>276</v>
      </c>
      <c r="D643" s="11" t="s">
        <v>151</v>
      </c>
      <c r="E643" s="13" t="s">
        <v>152</v>
      </c>
      <c r="F643" s="13" t="s">
        <v>252</v>
      </c>
      <c r="G643" s="19">
        <v>804763.43</v>
      </c>
      <c r="H643" s="19"/>
      <c r="I643" s="19">
        <v>804763.43</v>
      </c>
      <c r="J643" s="20">
        <v>35</v>
      </c>
    </row>
    <row r="644" spans="1:10" x14ac:dyDescent="0.25">
      <c r="A644" s="18">
        <v>46752</v>
      </c>
      <c r="B644" s="18">
        <v>46752</v>
      </c>
      <c r="C644" s="11" t="s">
        <v>276</v>
      </c>
      <c r="D644" s="11" t="s">
        <v>188</v>
      </c>
      <c r="E644" s="13" t="s">
        <v>189</v>
      </c>
      <c r="F644" s="13" t="s">
        <v>236</v>
      </c>
      <c r="G644" s="19"/>
      <c r="H644" s="19">
        <v>804763.43</v>
      </c>
      <c r="I644" s="19">
        <v>-804763.43</v>
      </c>
      <c r="J644" s="20">
        <v>35</v>
      </c>
    </row>
    <row r="645" spans="1:10" x14ac:dyDescent="0.25">
      <c r="A645" s="18">
        <v>46752</v>
      </c>
      <c r="B645" s="18">
        <v>46752</v>
      </c>
      <c r="C645" s="11" t="s">
        <v>276</v>
      </c>
      <c r="D645" s="11" t="s">
        <v>153</v>
      </c>
      <c r="E645" s="13" t="s">
        <v>154</v>
      </c>
      <c r="F645" s="13" t="s">
        <v>240</v>
      </c>
      <c r="G645" s="19">
        <v>5000000</v>
      </c>
      <c r="H645" s="19"/>
      <c r="I645" s="19">
        <v>5000000</v>
      </c>
      <c r="J645" s="20">
        <v>35</v>
      </c>
    </row>
    <row r="646" spans="1:10" x14ac:dyDescent="0.25">
      <c r="A646" s="18">
        <v>46752</v>
      </c>
      <c r="B646" s="18">
        <v>46752</v>
      </c>
      <c r="C646" s="11" t="s">
        <v>276</v>
      </c>
      <c r="D646" s="11" t="s">
        <v>219</v>
      </c>
      <c r="E646" s="13" t="s">
        <v>220</v>
      </c>
      <c r="F646" s="13" t="s">
        <v>240</v>
      </c>
      <c r="G646" s="19"/>
      <c r="H646" s="19">
        <v>5000000</v>
      </c>
      <c r="I646" s="19">
        <v>-5000000</v>
      </c>
      <c r="J646" s="20">
        <v>35</v>
      </c>
    </row>
    <row r="647" spans="1:10" x14ac:dyDescent="0.25">
      <c r="A647" s="18">
        <v>46843</v>
      </c>
      <c r="B647" s="18">
        <v>46843</v>
      </c>
      <c r="C647" s="11" t="s">
        <v>277</v>
      </c>
      <c r="D647" s="11" t="s">
        <v>196</v>
      </c>
      <c r="E647" s="13" t="s">
        <v>197</v>
      </c>
      <c r="F647" s="13" t="s">
        <v>233</v>
      </c>
      <c r="G647" s="19">
        <v>355000</v>
      </c>
      <c r="H647" s="19"/>
      <c r="I647" s="19">
        <v>355000</v>
      </c>
      <c r="J647" s="20">
        <v>36</v>
      </c>
    </row>
    <row r="648" spans="1:10" x14ac:dyDescent="0.25">
      <c r="A648" s="18">
        <v>46843</v>
      </c>
      <c r="B648" s="18">
        <v>46843</v>
      </c>
      <c r="C648" s="11" t="s">
        <v>277</v>
      </c>
      <c r="D648" s="11" t="s">
        <v>170</v>
      </c>
      <c r="E648" s="13" t="s">
        <v>171</v>
      </c>
      <c r="F648" s="13" t="s">
        <v>233</v>
      </c>
      <c r="G648" s="19"/>
      <c r="H648" s="19">
        <v>355000</v>
      </c>
      <c r="I648" s="19">
        <v>-355000</v>
      </c>
      <c r="J648" s="20">
        <v>36</v>
      </c>
    </row>
    <row r="649" spans="1:10" x14ac:dyDescent="0.25">
      <c r="A649" s="18">
        <v>46843</v>
      </c>
      <c r="B649" s="18">
        <v>46843</v>
      </c>
      <c r="C649" s="11" t="s">
        <v>277</v>
      </c>
      <c r="D649" s="11" t="s">
        <v>170</v>
      </c>
      <c r="E649" s="13" t="s">
        <v>171</v>
      </c>
      <c r="F649" s="13" t="s">
        <v>233</v>
      </c>
      <c r="G649" s="19">
        <v>355000</v>
      </c>
      <c r="H649" s="19"/>
      <c r="I649" s="19">
        <v>355000</v>
      </c>
      <c r="J649" s="20">
        <v>36</v>
      </c>
    </row>
    <row r="650" spans="1:10" x14ac:dyDescent="0.25">
      <c r="A650" s="18">
        <v>46843</v>
      </c>
      <c r="B650" s="18">
        <v>46843</v>
      </c>
      <c r="C650" s="11" t="s">
        <v>277</v>
      </c>
      <c r="D650" s="11" t="s">
        <v>145</v>
      </c>
      <c r="E650" s="13" t="s">
        <v>146</v>
      </c>
      <c r="F650" s="13" t="s">
        <v>233</v>
      </c>
      <c r="G650" s="19"/>
      <c r="H650" s="19">
        <v>355000</v>
      </c>
      <c r="I650" s="19">
        <v>-355000</v>
      </c>
      <c r="J650" s="20">
        <v>36</v>
      </c>
    </row>
    <row r="651" spans="1:10" x14ac:dyDescent="0.25">
      <c r="A651" s="18">
        <v>46843</v>
      </c>
      <c r="B651" s="18">
        <v>46843</v>
      </c>
      <c r="C651" s="11" t="s">
        <v>277</v>
      </c>
      <c r="D651" s="11" t="s">
        <v>209</v>
      </c>
      <c r="E651" s="13" t="s">
        <v>210</v>
      </c>
      <c r="F651" s="13" t="s">
        <v>234</v>
      </c>
      <c r="G651" s="19">
        <v>55000</v>
      </c>
      <c r="H651" s="19"/>
      <c r="I651" s="19">
        <v>55000</v>
      </c>
      <c r="J651" s="20">
        <v>36</v>
      </c>
    </row>
    <row r="652" spans="1:10" x14ac:dyDescent="0.25">
      <c r="A652" s="18">
        <v>46843</v>
      </c>
      <c r="B652" s="18">
        <v>46843</v>
      </c>
      <c r="C652" s="11" t="s">
        <v>277</v>
      </c>
      <c r="D652" s="11" t="s">
        <v>205</v>
      </c>
      <c r="E652" s="13" t="s">
        <v>206</v>
      </c>
      <c r="F652" s="13" t="s">
        <v>234</v>
      </c>
      <c r="G652" s="19">
        <v>48000</v>
      </c>
      <c r="H652" s="19"/>
      <c r="I652" s="19">
        <v>48000</v>
      </c>
      <c r="J652" s="20">
        <v>36</v>
      </c>
    </row>
    <row r="653" spans="1:10" x14ac:dyDescent="0.25">
      <c r="A653" s="18">
        <v>46843</v>
      </c>
      <c r="B653" s="18">
        <v>46843</v>
      </c>
      <c r="C653" s="11" t="s">
        <v>277</v>
      </c>
      <c r="D653" s="11" t="s">
        <v>207</v>
      </c>
      <c r="E653" s="13" t="s">
        <v>208</v>
      </c>
      <c r="F653" s="13" t="s">
        <v>234</v>
      </c>
      <c r="G653" s="19">
        <v>15000</v>
      </c>
      <c r="H653" s="19"/>
      <c r="I653" s="19">
        <v>15000</v>
      </c>
      <c r="J653" s="20">
        <v>36</v>
      </c>
    </row>
    <row r="654" spans="1:10" x14ac:dyDescent="0.25">
      <c r="A654" s="18">
        <v>46843</v>
      </c>
      <c r="B654" s="18">
        <v>46843</v>
      </c>
      <c r="C654" s="11" t="s">
        <v>277</v>
      </c>
      <c r="D654" s="11" t="s">
        <v>211</v>
      </c>
      <c r="E654" s="13" t="s">
        <v>212</v>
      </c>
      <c r="F654" s="13" t="s">
        <v>234</v>
      </c>
      <c r="G654" s="19">
        <v>7500</v>
      </c>
      <c r="H654" s="19"/>
      <c r="I654" s="19">
        <v>7500</v>
      </c>
      <c r="J654" s="20">
        <v>36</v>
      </c>
    </row>
    <row r="655" spans="1:10" x14ac:dyDescent="0.25">
      <c r="A655" s="18">
        <v>46843</v>
      </c>
      <c r="B655" s="18">
        <v>46843</v>
      </c>
      <c r="C655" s="11" t="s">
        <v>277</v>
      </c>
      <c r="D655" s="11" t="s">
        <v>215</v>
      </c>
      <c r="E655" s="13" t="s">
        <v>216</v>
      </c>
      <c r="F655" s="13" t="s">
        <v>234</v>
      </c>
      <c r="G655" s="19">
        <v>8000</v>
      </c>
      <c r="H655" s="19"/>
      <c r="I655" s="19">
        <v>8000</v>
      </c>
      <c r="J655" s="20">
        <v>36</v>
      </c>
    </row>
    <row r="656" spans="1:10" x14ac:dyDescent="0.25">
      <c r="A656" s="18">
        <v>46843</v>
      </c>
      <c r="B656" s="18">
        <v>46843</v>
      </c>
      <c r="C656" s="11" t="s">
        <v>277</v>
      </c>
      <c r="D656" s="11" t="s">
        <v>166</v>
      </c>
      <c r="E656" s="13" t="s">
        <v>167</v>
      </c>
      <c r="F656" s="13" t="s">
        <v>234</v>
      </c>
      <c r="G656" s="19"/>
      <c r="H656" s="19">
        <v>133500</v>
      </c>
      <c r="I656" s="19">
        <v>-133500</v>
      </c>
      <c r="J656" s="20">
        <v>36</v>
      </c>
    </row>
    <row r="657" spans="1:10" x14ac:dyDescent="0.25">
      <c r="A657" s="18">
        <v>46843</v>
      </c>
      <c r="B657" s="18">
        <v>46843</v>
      </c>
      <c r="C657" s="11" t="s">
        <v>277</v>
      </c>
      <c r="D657" s="11" t="s">
        <v>166</v>
      </c>
      <c r="E657" s="13" t="s">
        <v>167</v>
      </c>
      <c r="F657" s="13" t="s">
        <v>234</v>
      </c>
      <c r="G657" s="19">
        <v>133500</v>
      </c>
      <c r="H657" s="19"/>
      <c r="I657" s="19">
        <v>133500</v>
      </c>
      <c r="J657" s="20">
        <v>36</v>
      </c>
    </row>
    <row r="658" spans="1:10" x14ac:dyDescent="0.25">
      <c r="A658" s="18">
        <v>46843</v>
      </c>
      <c r="B658" s="18">
        <v>46843</v>
      </c>
      <c r="C658" s="11" t="s">
        <v>277</v>
      </c>
      <c r="D658" s="11" t="s">
        <v>145</v>
      </c>
      <c r="E658" s="13" t="s">
        <v>146</v>
      </c>
      <c r="F658" s="13" t="s">
        <v>234</v>
      </c>
      <c r="G658" s="19"/>
      <c r="H658" s="19">
        <v>133500</v>
      </c>
      <c r="I658" s="19">
        <v>-133500</v>
      </c>
      <c r="J658" s="20">
        <v>36</v>
      </c>
    </row>
    <row r="659" spans="1:10" x14ac:dyDescent="0.25">
      <c r="A659" s="18">
        <v>46843</v>
      </c>
      <c r="B659" s="18">
        <v>46843</v>
      </c>
      <c r="C659" s="11" t="s">
        <v>277</v>
      </c>
      <c r="D659" s="11" t="s">
        <v>151</v>
      </c>
      <c r="E659" s="13" t="s">
        <v>152</v>
      </c>
      <c r="F659" s="13" t="s">
        <v>252</v>
      </c>
      <c r="G659" s="19">
        <v>828906.33</v>
      </c>
      <c r="H659" s="19"/>
      <c r="I659" s="19">
        <v>828906.33</v>
      </c>
      <c r="J659" s="20">
        <v>36</v>
      </c>
    </row>
    <row r="660" spans="1:10" x14ac:dyDescent="0.25">
      <c r="A660" s="18">
        <v>46843</v>
      </c>
      <c r="B660" s="18">
        <v>46843</v>
      </c>
      <c r="C660" s="11" t="s">
        <v>277</v>
      </c>
      <c r="D660" s="11" t="s">
        <v>188</v>
      </c>
      <c r="E660" s="13" t="s">
        <v>189</v>
      </c>
      <c r="F660" s="13" t="s">
        <v>236</v>
      </c>
      <c r="G660" s="19"/>
      <c r="H660" s="19">
        <v>828906.33</v>
      </c>
      <c r="I660" s="19">
        <v>-828906.33</v>
      </c>
      <c r="J660" s="20">
        <v>36</v>
      </c>
    </row>
    <row r="661" spans="1:10" x14ac:dyDescent="0.25">
      <c r="A661" s="18">
        <v>46934</v>
      </c>
      <c r="B661" s="18">
        <v>46934</v>
      </c>
      <c r="C661" s="11" t="s">
        <v>278</v>
      </c>
      <c r="D661" s="11" t="s">
        <v>196</v>
      </c>
      <c r="E661" s="13" t="s">
        <v>197</v>
      </c>
      <c r="F661" s="13" t="s">
        <v>233</v>
      </c>
      <c r="G661" s="19">
        <v>215000</v>
      </c>
      <c r="H661" s="19"/>
      <c r="I661" s="19">
        <v>215000</v>
      </c>
      <c r="J661" s="20">
        <v>37</v>
      </c>
    </row>
    <row r="662" spans="1:10" x14ac:dyDescent="0.25">
      <c r="A662" s="18">
        <v>46934</v>
      </c>
      <c r="B662" s="18">
        <v>46934</v>
      </c>
      <c r="C662" s="11" t="s">
        <v>278</v>
      </c>
      <c r="D662" s="11" t="s">
        <v>170</v>
      </c>
      <c r="E662" s="13" t="s">
        <v>171</v>
      </c>
      <c r="F662" s="13" t="s">
        <v>233</v>
      </c>
      <c r="G662" s="19"/>
      <c r="H662" s="19">
        <v>215000</v>
      </c>
      <c r="I662" s="19">
        <v>-215000</v>
      </c>
      <c r="J662" s="20">
        <v>37</v>
      </c>
    </row>
    <row r="663" spans="1:10" x14ac:dyDescent="0.25">
      <c r="A663" s="18">
        <v>46934</v>
      </c>
      <c r="B663" s="18">
        <v>46934</v>
      </c>
      <c r="C663" s="11" t="s">
        <v>278</v>
      </c>
      <c r="D663" s="11" t="s">
        <v>170</v>
      </c>
      <c r="E663" s="13" t="s">
        <v>171</v>
      </c>
      <c r="F663" s="13" t="s">
        <v>233</v>
      </c>
      <c r="G663" s="19">
        <v>215000</v>
      </c>
      <c r="H663" s="19"/>
      <c r="I663" s="19">
        <v>215000</v>
      </c>
      <c r="J663" s="20">
        <v>37</v>
      </c>
    </row>
    <row r="664" spans="1:10" x14ac:dyDescent="0.25">
      <c r="A664" s="18">
        <v>46934</v>
      </c>
      <c r="B664" s="18">
        <v>46934</v>
      </c>
      <c r="C664" s="11" t="s">
        <v>278</v>
      </c>
      <c r="D664" s="11" t="s">
        <v>145</v>
      </c>
      <c r="E664" s="13" t="s">
        <v>146</v>
      </c>
      <c r="F664" s="13" t="s">
        <v>233</v>
      </c>
      <c r="G664" s="19"/>
      <c r="H664" s="19">
        <v>215000</v>
      </c>
      <c r="I664" s="19">
        <v>-215000</v>
      </c>
      <c r="J664" s="20">
        <v>37</v>
      </c>
    </row>
    <row r="665" spans="1:10" x14ac:dyDescent="0.25">
      <c r="A665" s="18">
        <v>46934</v>
      </c>
      <c r="B665" s="18">
        <v>46934</v>
      </c>
      <c r="C665" s="11" t="s">
        <v>278</v>
      </c>
      <c r="D665" s="11" t="s">
        <v>209</v>
      </c>
      <c r="E665" s="13" t="s">
        <v>210</v>
      </c>
      <c r="F665" s="13" t="s">
        <v>234</v>
      </c>
      <c r="G665" s="19">
        <v>55000</v>
      </c>
      <c r="H665" s="19"/>
      <c r="I665" s="19">
        <v>55000</v>
      </c>
      <c r="J665" s="20">
        <v>37</v>
      </c>
    </row>
    <row r="666" spans="1:10" x14ac:dyDescent="0.25">
      <c r="A666" s="18">
        <v>46934</v>
      </c>
      <c r="B666" s="18">
        <v>46934</v>
      </c>
      <c r="C666" s="11" t="s">
        <v>278</v>
      </c>
      <c r="D666" s="11" t="s">
        <v>205</v>
      </c>
      <c r="E666" s="13" t="s">
        <v>206</v>
      </c>
      <c r="F666" s="13" t="s">
        <v>234</v>
      </c>
      <c r="G666" s="19">
        <v>48000</v>
      </c>
      <c r="H666" s="19"/>
      <c r="I666" s="19">
        <v>48000</v>
      </c>
      <c r="J666" s="20">
        <v>37</v>
      </c>
    </row>
    <row r="667" spans="1:10" x14ac:dyDescent="0.25">
      <c r="A667" s="18">
        <v>46934</v>
      </c>
      <c r="B667" s="18">
        <v>46934</v>
      </c>
      <c r="C667" s="11" t="s">
        <v>278</v>
      </c>
      <c r="D667" s="11" t="s">
        <v>207</v>
      </c>
      <c r="E667" s="13" t="s">
        <v>208</v>
      </c>
      <c r="F667" s="13" t="s">
        <v>234</v>
      </c>
      <c r="G667" s="19">
        <v>15000</v>
      </c>
      <c r="H667" s="19"/>
      <c r="I667" s="19">
        <v>15000</v>
      </c>
      <c r="J667" s="20">
        <v>37</v>
      </c>
    </row>
    <row r="668" spans="1:10" x14ac:dyDescent="0.25">
      <c r="A668" s="18">
        <v>46934</v>
      </c>
      <c r="B668" s="18">
        <v>46934</v>
      </c>
      <c r="C668" s="11" t="s">
        <v>278</v>
      </c>
      <c r="D668" s="11" t="s">
        <v>211</v>
      </c>
      <c r="E668" s="13" t="s">
        <v>212</v>
      </c>
      <c r="F668" s="13" t="s">
        <v>234</v>
      </c>
      <c r="G668" s="19">
        <v>7500</v>
      </c>
      <c r="H668" s="19"/>
      <c r="I668" s="19">
        <v>7500</v>
      </c>
      <c r="J668" s="20">
        <v>37</v>
      </c>
    </row>
    <row r="669" spans="1:10" x14ac:dyDescent="0.25">
      <c r="A669" s="18">
        <v>46934</v>
      </c>
      <c r="B669" s="18">
        <v>46934</v>
      </c>
      <c r="C669" s="11" t="s">
        <v>278</v>
      </c>
      <c r="D669" s="11" t="s">
        <v>215</v>
      </c>
      <c r="E669" s="13" t="s">
        <v>216</v>
      </c>
      <c r="F669" s="13" t="s">
        <v>234</v>
      </c>
      <c r="G669" s="19">
        <v>8000</v>
      </c>
      <c r="H669" s="19"/>
      <c r="I669" s="19">
        <v>8000</v>
      </c>
      <c r="J669" s="20">
        <v>37</v>
      </c>
    </row>
    <row r="670" spans="1:10" x14ac:dyDescent="0.25">
      <c r="A670" s="18">
        <v>46934</v>
      </c>
      <c r="B670" s="18">
        <v>46934</v>
      </c>
      <c r="C670" s="11" t="s">
        <v>278</v>
      </c>
      <c r="D670" s="11" t="s">
        <v>166</v>
      </c>
      <c r="E670" s="13" t="s">
        <v>167</v>
      </c>
      <c r="F670" s="13" t="s">
        <v>234</v>
      </c>
      <c r="G670" s="19"/>
      <c r="H670" s="19">
        <v>133500</v>
      </c>
      <c r="I670" s="19">
        <v>-133500</v>
      </c>
      <c r="J670" s="20">
        <v>37</v>
      </c>
    </row>
    <row r="671" spans="1:10" x14ac:dyDescent="0.25">
      <c r="A671" s="18">
        <v>46934</v>
      </c>
      <c r="B671" s="18">
        <v>46934</v>
      </c>
      <c r="C671" s="11" t="s">
        <v>278</v>
      </c>
      <c r="D671" s="11" t="s">
        <v>166</v>
      </c>
      <c r="E671" s="13" t="s">
        <v>167</v>
      </c>
      <c r="F671" s="13" t="s">
        <v>234</v>
      </c>
      <c r="G671" s="19">
        <v>133500</v>
      </c>
      <c r="H671" s="19"/>
      <c r="I671" s="19">
        <v>133500</v>
      </c>
      <c r="J671" s="20">
        <v>37</v>
      </c>
    </row>
    <row r="672" spans="1:10" x14ac:dyDescent="0.25">
      <c r="A672" s="18">
        <v>46934</v>
      </c>
      <c r="B672" s="18">
        <v>46934</v>
      </c>
      <c r="C672" s="11" t="s">
        <v>278</v>
      </c>
      <c r="D672" s="11" t="s">
        <v>145</v>
      </c>
      <c r="E672" s="13" t="s">
        <v>146</v>
      </c>
      <c r="F672" s="13" t="s">
        <v>234</v>
      </c>
      <c r="G672" s="19"/>
      <c r="H672" s="19">
        <v>133500</v>
      </c>
      <c r="I672" s="19">
        <v>-133500</v>
      </c>
      <c r="J672" s="20">
        <v>37</v>
      </c>
    </row>
    <row r="673" spans="1:10" x14ac:dyDescent="0.25">
      <c r="A673" s="18">
        <v>46934</v>
      </c>
      <c r="B673" s="18">
        <v>46934</v>
      </c>
      <c r="C673" s="11" t="s">
        <v>278</v>
      </c>
      <c r="D673" s="11" t="s">
        <v>151</v>
      </c>
      <c r="E673" s="13" t="s">
        <v>152</v>
      </c>
      <c r="F673" s="13" t="s">
        <v>252</v>
      </c>
      <c r="G673" s="19">
        <v>853773.52</v>
      </c>
      <c r="H673" s="19"/>
      <c r="I673" s="19">
        <v>853773.52</v>
      </c>
      <c r="J673" s="20">
        <v>37</v>
      </c>
    </row>
    <row r="674" spans="1:10" x14ac:dyDescent="0.25">
      <c r="A674" s="18">
        <v>46934</v>
      </c>
      <c r="B674" s="18">
        <v>46934</v>
      </c>
      <c r="C674" s="11" t="s">
        <v>278</v>
      </c>
      <c r="D674" s="11" t="s">
        <v>188</v>
      </c>
      <c r="E674" s="13" t="s">
        <v>189</v>
      </c>
      <c r="F674" s="13" t="s">
        <v>236</v>
      </c>
      <c r="G674" s="19"/>
      <c r="H674" s="19">
        <v>853773.52</v>
      </c>
      <c r="I674" s="19">
        <v>-853773.52</v>
      </c>
      <c r="J674" s="20">
        <v>37</v>
      </c>
    </row>
    <row r="675" spans="1:10" x14ac:dyDescent="0.25">
      <c r="A675" s="18">
        <v>46934</v>
      </c>
      <c r="B675" s="18">
        <v>46934</v>
      </c>
      <c r="C675" s="11" t="s">
        <v>278</v>
      </c>
      <c r="D675" s="11" t="s">
        <v>145</v>
      </c>
      <c r="E675" s="13" t="s">
        <v>146</v>
      </c>
      <c r="F675" s="13" t="s">
        <v>262</v>
      </c>
      <c r="G675" s="19">
        <v>46000000</v>
      </c>
      <c r="H675" s="19"/>
      <c r="I675" s="19">
        <v>46000000</v>
      </c>
      <c r="J675" s="20">
        <v>37</v>
      </c>
    </row>
    <row r="676" spans="1:10" x14ac:dyDescent="0.25">
      <c r="A676" s="18">
        <v>46934</v>
      </c>
      <c r="B676" s="18">
        <v>46934</v>
      </c>
      <c r="C676" s="11" t="s">
        <v>278</v>
      </c>
      <c r="D676" s="11" t="s">
        <v>151</v>
      </c>
      <c r="E676" s="13" t="s">
        <v>152</v>
      </c>
      <c r="F676" s="13" t="s">
        <v>262</v>
      </c>
      <c r="G676" s="19"/>
      <c r="H676" s="19">
        <v>28000000</v>
      </c>
      <c r="I676" s="19">
        <v>-28000000</v>
      </c>
      <c r="J676" s="20">
        <v>37</v>
      </c>
    </row>
    <row r="677" spans="1:10" x14ac:dyDescent="0.25">
      <c r="A677" s="18">
        <v>46934</v>
      </c>
      <c r="B677" s="18">
        <v>46934</v>
      </c>
      <c r="C677" s="11" t="s">
        <v>278</v>
      </c>
      <c r="D677" s="11" t="s">
        <v>217</v>
      </c>
      <c r="E677" s="13" t="s">
        <v>218</v>
      </c>
      <c r="F677" s="13" t="s">
        <v>262</v>
      </c>
      <c r="G677" s="19"/>
      <c r="H677" s="19">
        <v>18000000</v>
      </c>
      <c r="I677" s="19">
        <v>-18000000</v>
      </c>
      <c r="J677" s="20">
        <v>37</v>
      </c>
    </row>
    <row r="678" spans="1:10" x14ac:dyDescent="0.25">
      <c r="A678" s="18">
        <v>46934</v>
      </c>
      <c r="B678" s="18">
        <v>46934</v>
      </c>
      <c r="C678" s="11" t="s">
        <v>278</v>
      </c>
      <c r="D678" s="11" t="s">
        <v>219</v>
      </c>
      <c r="E678" s="13" t="s">
        <v>220</v>
      </c>
      <c r="F678" s="13" t="s">
        <v>240</v>
      </c>
      <c r="G678" s="19">
        <v>8000000</v>
      </c>
      <c r="H678" s="19"/>
      <c r="I678" s="19">
        <v>8000000</v>
      </c>
      <c r="J678" s="20">
        <v>37</v>
      </c>
    </row>
    <row r="679" spans="1:10" x14ac:dyDescent="0.25">
      <c r="A679" s="18">
        <v>46934</v>
      </c>
      <c r="B679" s="18">
        <v>46934</v>
      </c>
      <c r="C679" s="11" t="s">
        <v>278</v>
      </c>
      <c r="D679" s="11" t="s">
        <v>153</v>
      </c>
      <c r="E679" s="13" t="s">
        <v>154</v>
      </c>
      <c r="F679" s="13" t="s">
        <v>240</v>
      </c>
      <c r="G679" s="19"/>
      <c r="H679" s="19">
        <v>8000000</v>
      </c>
      <c r="I679" s="19">
        <v>-8000000</v>
      </c>
      <c r="J679" s="20">
        <v>37</v>
      </c>
    </row>
    <row r="680" spans="1:10" x14ac:dyDescent="0.25">
      <c r="A680" s="18">
        <v>46934</v>
      </c>
      <c r="B680" s="18">
        <v>46934</v>
      </c>
      <c r="C680" s="11" t="s">
        <v>278</v>
      </c>
      <c r="D680" s="11" t="s">
        <v>183</v>
      </c>
      <c r="E680" s="13" t="s">
        <v>184</v>
      </c>
      <c r="F680" s="13" t="s">
        <v>263</v>
      </c>
      <c r="G680" s="19">
        <v>44200000</v>
      </c>
      <c r="H680" s="19"/>
      <c r="I680" s="19">
        <v>44200000</v>
      </c>
      <c r="J680" s="20">
        <v>37</v>
      </c>
    </row>
    <row r="681" spans="1:10" x14ac:dyDescent="0.25">
      <c r="A681" s="18">
        <v>46934</v>
      </c>
      <c r="B681" s="18">
        <v>46934</v>
      </c>
      <c r="C681" s="11" t="s">
        <v>278</v>
      </c>
      <c r="D681" s="11" t="s">
        <v>145</v>
      </c>
      <c r="E681" s="13" t="s">
        <v>146</v>
      </c>
      <c r="F681" s="13" t="s">
        <v>263</v>
      </c>
      <c r="G681" s="19"/>
      <c r="H681" s="19">
        <v>44200000</v>
      </c>
      <c r="I681" s="19">
        <v>-44200000</v>
      </c>
      <c r="J681" s="20">
        <v>37</v>
      </c>
    </row>
    <row r="682" spans="1:10" x14ac:dyDescent="0.25">
      <c r="A682" s="18">
        <v>47026</v>
      </c>
      <c r="B682" s="18">
        <v>47026</v>
      </c>
      <c r="C682" s="11" t="s">
        <v>279</v>
      </c>
      <c r="D682" s="11" t="s">
        <v>196</v>
      </c>
      <c r="E682" s="13" t="s">
        <v>197</v>
      </c>
      <c r="F682" s="13" t="s">
        <v>233</v>
      </c>
      <c r="G682" s="19">
        <v>215000</v>
      </c>
      <c r="H682" s="19"/>
      <c r="I682" s="19">
        <v>215000</v>
      </c>
      <c r="J682" s="20">
        <v>38</v>
      </c>
    </row>
    <row r="683" spans="1:10" x14ac:dyDescent="0.25">
      <c r="A683" s="18">
        <v>47026</v>
      </c>
      <c r="B683" s="18">
        <v>47026</v>
      </c>
      <c r="C683" s="11" t="s">
        <v>279</v>
      </c>
      <c r="D683" s="11" t="s">
        <v>170</v>
      </c>
      <c r="E683" s="13" t="s">
        <v>171</v>
      </c>
      <c r="F683" s="13" t="s">
        <v>233</v>
      </c>
      <c r="G683" s="19"/>
      <c r="H683" s="19">
        <v>215000</v>
      </c>
      <c r="I683" s="19">
        <v>-215000</v>
      </c>
      <c r="J683" s="20">
        <v>38</v>
      </c>
    </row>
    <row r="684" spans="1:10" x14ac:dyDescent="0.25">
      <c r="A684" s="18">
        <v>47026</v>
      </c>
      <c r="B684" s="18">
        <v>47026</v>
      </c>
      <c r="C684" s="11" t="s">
        <v>279</v>
      </c>
      <c r="D684" s="11" t="s">
        <v>170</v>
      </c>
      <c r="E684" s="13" t="s">
        <v>171</v>
      </c>
      <c r="F684" s="13" t="s">
        <v>233</v>
      </c>
      <c r="G684" s="19">
        <v>215000</v>
      </c>
      <c r="H684" s="19"/>
      <c r="I684" s="19">
        <v>215000</v>
      </c>
      <c r="J684" s="20">
        <v>38</v>
      </c>
    </row>
    <row r="685" spans="1:10" x14ac:dyDescent="0.25">
      <c r="A685" s="18">
        <v>47026</v>
      </c>
      <c r="B685" s="18">
        <v>47026</v>
      </c>
      <c r="C685" s="11" t="s">
        <v>279</v>
      </c>
      <c r="D685" s="11" t="s">
        <v>145</v>
      </c>
      <c r="E685" s="13" t="s">
        <v>146</v>
      </c>
      <c r="F685" s="13" t="s">
        <v>233</v>
      </c>
      <c r="G685" s="19"/>
      <c r="H685" s="19">
        <v>215000</v>
      </c>
      <c r="I685" s="19">
        <v>-215000</v>
      </c>
      <c r="J685" s="20">
        <v>38</v>
      </c>
    </row>
    <row r="686" spans="1:10" x14ac:dyDescent="0.25">
      <c r="A686" s="18">
        <v>47026</v>
      </c>
      <c r="B686" s="18">
        <v>47026</v>
      </c>
      <c r="C686" s="11" t="s">
        <v>279</v>
      </c>
      <c r="D686" s="11" t="s">
        <v>209</v>
      </c>
      <c r="E686" s="13" t="s">
        <v>210</v>
      </c>
      <c r="F686" s="13" t="s">
        <v>234</v>
      </c>
      <c r="G686" s="19">
        <v>55000</v>
      </c>
      <c r="H686" s="19"/>
      <c r="I686" s="19">
        <v>55000</v>
      </c>
      <c r="J686" s="20">
        <v>38</v>
      </c>
    </row>
    <row r="687" spans="1:10" x14ac:dyDescent="0.25">
      <c r="A687" s="18">
        <v>47026</v>
      </c>
      <c r="B687" s="18">
        <v>47026</v>
      </c>
      <c r="C687" s="11" t="s">
        <v>279</v>
      </c>
      <c r="D687" s="11" t="s">
        <v>205</v>
      </c>
      <c r="E687" s="13" t="s">
        <v>206</v>
      </c>
      <c r="F687" s="13" t="s">
        <v>234</v>
      </c>
      <c r="G687" s="19">
        <v>48000</v>
      </c>
      <c r="H687" s="19"/>
      <c r="I687" s="19">
        <v>48000</v>
      </c>
      <c r="J687" s="20">
        <v>38</v>
      </c>
    </row>
    <row r="688" spans="1:10" x14ac:dyDescent="0.25">
      <c r="A688" s="18">
        <v>47026</v>
      </c>
      <c r="B688" s="18">
        <v>47026</v>
      </c>
      <c r="C688" s="11" t="s">
        <v>279</v>
      </c>
      <c r="D688" s="11" t="s">
        <v>207</v>
      </c>
      <c r="E688" s="13" t="s">
        <v>208</v>
      </c>
      <c r="F688" s="13" t="s">
        <v>234</v>
      </c>
      <c r="G688" s="19">
        <v>15000</v>
      </c>
      <c r="H688" s="19"/>
      <c r="I688" s="19">
        <v>15000</v>
      </c>
      <c r="J688" s="20">
        <v>38</v>
      </c>
    </row>
    <row r="689" spans="1:10" x14ac:dyDescent="0.25">
      <c r="A689" s="18">
        <v>47026</v>
      </c>
      <c r="B689" s="18">
        <v>47026</v>
      </c>
      <c r="C689" s="11" t="s">
        <v>279</v>
      </c>
      <c r="D689" s="11" t="s">
        <v>211</v>
      </c>
      <c r="E689" s="13" t="s">
        <v>212</v>
      </c>
      <c r="F689" s="13" t="s">
        <v>234</v>
      </c>
      <c r="G689" s="19">
        <v>7500</v>
      </c>
      <c r="H689" s="19"/>
      <c r="I689" s="19">
        <v>7500</v>
      </c>
      <c r="J689" s="20">
        <v>38</v>
      </c>
    </row>
    <row r="690" spans="1:10" x14ac:dyDescent="0.25">
      <c r="A690" s="18">
        <v>47026</v>
      </c>
      <c r="B690" s="18">
        <v>47026</v>
      </c>
      <c r="C690" s="11" t="s">
        <v>279</v>
      </c>
      <c r="D690" s="11" t="s">
        <v>215</v>
      </c>
      <c r="E690" s="13" t="s">
        <v>216</v>
      </c>
      <c r="F690" s="13" t="s">
        <v>234</v>
      </c>
      <c r="G690" s="19">
        <v>8000</v>
      </c>
      <c r="H690" s="19"/>
      <c r="I690" s="19">
        <v>8000</v>
      </c>
      <c r="J690" s="20">
        <v>38</v>
      </c>
    </row>
    <row r="691" spans="1:10" x14ac:dyDescent="0.25">
      <c r="A691" s="18">
        <v>47026</v>
      </c>
      <c r="B691" s="18">
        <v>47026</v>
      </c>
      <c r="C691" s="11" t="s">
        <v>279</v>
      </c>
      <c r="D691" s="11" t="s">
        <v>166</v>
      </c>
      <c r="E691" s="13" t="s">
        <v>167</v>
      </c>
      <c r="F691" s="13" t="s">
        <v>234</v>
      </c>
      <c r="G691" s="19"/>
      <c r="H691" s="19">
        <v>133500</v>
      </c>
      <c r="I691" s="19">
        <v>-133500</v>
      </c>
      <c r="J691" s="20">
        <v>38</v>
      </c>
    </row>
    <row r="692" spans="1:10" x14ac:dyDescent="0.25">
      <c r="A692" s="18">
        <v>47026</v>
      </c>
      <c r="B692" s="18">
        <v>47026</v>
      </c>
      <c r="C692" s="11" t="s">
        <v>279</v>
      </c>
      <c r="D692" s="11" t="s">
        <v>166</v>
      </c>
      <c r="E692" s="13" t="s">
        <v>167</v>
      </c>
      <c r="F692" s="13" t="s">
        <v>234</v>
      </c>
      <c r="G692" s="19">
        <v>133500</v>
      </c>
      <c r="H692" s="19"/>
      <c r="I692" s="19">
        <v>133500</v>
      </c>
      <c r="J692" s="20">
        <v>38</v>
      </c>
    </row>
    <row r="693" spans="1:10" x14ac:dyDescent="0.25">
      <c r="A693" s="18">
        <v>47026</v>
      </c>
      <c r="B693" s="18">
        <v>47026</v>
      </c>
      <c r="C693" s="11" t="s">
        <v>279</v>
      </c>
      <c r="D693" s="11" t="s">
        <v>145</v>
      </c>
      <c r="E693" s="13" t="s">
        <v>146</v>
      </c>
      <c r="F693" s="13" t="s">
        <v>234</v>
      </c>
      <c r="G693" s="19"/>
      <c r="H693" s="19">
        <v>133500</v>
      </c>
      <c r="I693" s="19">
        <v>-133500</v>
      </c>
      <c r="J693" s="20">
        <v>38</v>
      </c>
    </row>
    <row r="694" spans="1:10" x14ac:dyDescent="0.25">
      <c r="A694" s="18">
        <v>47026</v>
      </c>
      <c r="B694" s="18">
        <v>47026</v>
      </c>
      <c r="C694" s="11" t="s">
        <v>279</v>
      </c>
      <c r="D694" s="11" t="s">
        <v>151</v>
      </c>
      <c r="E694" s="13" t="s">
        <v>152</v>
      </c>
      <c r="F694" s="13" t="s">
        <v>252</v>
      </c>
      <c r="G694" s="19">
        <v>879386.73</v>
      </c>
      <c r="H694" s="19"/>
      <c r="I694" s="19">
        <v>879386.73</v>
      </c>
      <c r="J694" s="20">
        <v>38</v>
      </c>
    </row>
    <row r="695" spans="1:10" x14ac:dyDescent="0.25">
      <c r="A695" s="18">
        <v>47026</v>
      </c>
      <c r="B695" s="18">
        <v>47026</v>
      </c>
      <c r="C695" s="11" t="s">
        <v>279</v>
      </c>
      <c r="D695" s="11" t="s">
        <v>188</v>
      </c>
      <c r="E695" s="13" t="s">
        <v>189</v>
      </c>
      <c r="F695" s="13" t="s">
        <v>236</v>
      </c>
      <c r="G695" s="19"/>
      <c r="H695" s="19">
        <v>879386.73</v>
      </c>
      <c r="I695" s="19">
        <v>-879386.73</v>
      </c>
      <c r="J695" s="20">
        <v>38</v>
      </c>
    </row>
    <row r="696" spans="1:10" x14ac:dyDescent="0.25">
      <c r="A696" s="18">
        <v>47118</v>
      </c>
      <c r="B696" s="18">
        <v>47118</v>
      </c>
      <c r="C696" s="11" t="s">
        <v>280</v>
      </c>
      <c r="D696" s="11" t="s">
        <v>196</v>
      </c>
      <c r="E696" s="13" t="s">
        <v>197</v>
      </c>
      <c r="F696" s="13" t="s">
        <v>233</v>
      </c>
      <c r="G696" s="19">
        <v>90000</v>
      </c>
      <c r="H696" s="19"/>
      <c r="I696" s="19">
        <v>90000</v>
      </c>
      <c r="J696" s="20">
        <v>39</v>
      </c>
    </row>
    <row r="697" spans="1:10" x14ac:dyDescent="0.25">
      <c r="A697" s="18">
        <v>47118</v>
      </c>
      <c r="B697" s="18">
        <v>47118</v>
      </c>
      <c r="C697" s="11" t="s">
        <v>280</v>
      </c>
      <c r="D697" s="11" t="s">
        <v>170</v>
      </c>
      <c r="E697" s="13" t="s">
        <v>171</v>
      </c>
      <c r="F697" s="13" t="s">
        <v>233</v>
      </c>
      <c r="G697" s="19"/>
      <c r="H697" s="19">
        <v>90000</v>
      </c>
      <c r="I697" s="19">
        <v>-90000</v>
      </c>
      <c r="J697" s="20">
        <v>39</v>
      </c>
    </row>
    <row r="698" spans="1:10" x14ac:dyDescent="0.25">
      <c r="A698" s="18">
        <v>47118</v>
      </c>
      <c r="B698" s="18">
        <v>47118</v>
      </c>
      <c r="C698" s="11" t="s">
        <v>280</v>
      </c>
      <c r="D698" s="11" t="s">
        <v>170</v>
      </c>
      <c r="E698" s="13" t="s">
        <v>171</v>
      </c>
      <c r="F698" s="13" t="s">
        <v>233</v>
      </c>
      <c r="G698" s="19">
        <v>90000</v>
      </c>
      <c r="H698" s="19"/>
      <c r="I698" s="19">
        <v>90000</v>
      </c>
      <c r="J698" s="20">
        <v>39</v>
      </c>
    </row>
    <row r="699" spans="1:10" x14ac:dyDescent="0.25">
      <c r="A699" s="18">
        <v>47118</v>
      </c>
      <c r="B699" s="18">
        <v>47118</v>
      </c>
      <c r="C699" s="11" t="s">
        <v>280</v>
      </c>
      <c r="D699" s="11" t="s">
        <v>145</v>
      </c>
      <c r="E699" s="13" t="s">
        <v>146</v>
      </c>
      <c r="F699" s="13" t="s">
        <v>233</v>
      </c>
      <c r="G699" s="19"/>
      <c r="H699" s="19">
        <v>90000</v>
      </c>
      <c r="I699" s="19">
        <v>-90000</v>
      </c>
      <c r="J699" s="20">
        <v>39</v>
      </c>
    </row>
    <row r="700" spans="1:10" x14ac:dyDescent="0.25">
      <c r="A700" s="18">
        <v>47118</v>
      </c>
      <c r="B700" s="18">
        <v>47118</v>
      </c>
      <c r="C700" s="11" t="s">
        <v>280</v>
      </c>
      <c r="D700" s="11" t="s">
        <v>209</v>
      </c>
      <c r="E700" s="13" t="s">
        <v>210</v>
      </c>
      <c r="F700" s="13" t="s">
        <v>234</v>
      </c>
      <c r="G700" s="19">
        <v>55000</v>
      </c>
      <c r="H700" s="19"/>
      <c r="I700" s="19">
        <v>55000</v>
      </c>
      <c r="J700" s="20">
        <v>39</v>
      </c>
    </row>
    <row r="701" spans="1:10" x14ac:dyDescent="0.25">
      <c r="A701" s="18">
        <v>47118</v>
      </c>
      <c r="B701" s="18">
        <v>47118</v>
      </c>
      <c r="C701" s="11" t="s">
        <v>280</v>
      </c>
      <c r="D701" s="11" t="s">
        <v>205</v>
      </c>
      <c r="E701" s="13" t="s">
        <v>206</v>
      </c>
      <c r="F701" s="13" t="s">
        <v>234</v>
      </c>
      <c r="G701" s="19">
        <v>48000</v>
      </c>
      <c r="H701" s="19"/>
      <c r="I701" s="19">
        <v>48000</v>
      </c>
      <c r="J701" s="20">
        <v>39</v>
      </c>
    </row>
    <row r="702" spans="1:10" x14ac:dyDescent="0.25">
      <c r="A702" s="18">
        <v>47118</v>
      </c>
      <c r="B702" s="18">
        <v>47118</v>
      </c>
      <c r="C702" s="11" t="s">
        <v>280</v>
      </c>
      <c r="D702" s="11" t="s">
        <v>207</v>
      </c>
      <c r="E702" s="13" t="s">
        <v>208</v>
      </c>
      <c r="F702" s="13" t="s">
        <v>234</v>
      </c>
      <c r="G702" s="19">
        <v>15000</v>
      </c>
      <c r="H702" s="19"/>
      <c r="I702" s="19">
        <v>15000</v>
      </c>
      <c r="J702" s="20">
        <v>39</v>
      </c>
    </row>
    <row r="703" spans="1:10" x14ac:dyDescent="0.25">
      <c r="A703" s="18">
        <v>47118</v>
      </c>
      <c r="B703" s="18">
        <v>47118</v>
      </c>
      <c r="C703" s="11" t="s">
        <v>280</v>
      </c>
      <c r="D703" s="11" t="s">
        <v>211</v>
      </c>
      <c r="E703" s="13" t="s">
        <v>212</v>
      </c>
      <c r="F703" s="13" t="s">
        <v>234</v>
      </c>
      <c r="G703" s="19">
        <v>7500</v>
      </c>
      <c r="H703" s="19"/>
      <c r="I703" s="19">
        <v>7500</v>
      </c>
      <c r="J703" s="20">
        <v>39</v>
      </c>
    </row>
    <row r="704" spans="1:10" x14ac:dyDescent="0.25">
      <c r="A704" s="18">
        <v>47118</v>
      </c>
      <c r="B704" s="18">
        <v>47118</v>
      </c>
      <c r="C704" s="11" t="s">
        <v>280</v>
      </c>
      <c r="D704" s="11" t="s">
        <v>215</v>
      </c>
      <c r="E704" s="13" t="s">
        <v>216</v>
      </c>
      <c r="F704" s="13" t="s">
        <v>234</v>
      </c>
      <c r="G704" s="19">
        <v>8000</v>
      </c>
      <c r="H704" s="19"/>
      <c r="I704" s="19">
        <v>8000</v>
      </c>
      <c r="J704" s="20">
        <v>39</v>
      </c>
    </row>
    <row r="705" spans="1:10" x14ac:dyDescent="0.25">
      <c r="A705" s="18">
        <v>47118</v>
      </c>
      <c r="B705" s="18">
        <v>47118</v>
      </c>
      <c r="C705" s="11" t="s">
        <v>280</v>
      </c>
      <c r="D705" s="11" t="s">
        <v>166</v>
      </c>
      <c r="E705" s="13" t="s">
        <v>167</v>
      </c>
      <c r="F705" s="13" t="s">
        <v>234</v>
      </c>
      <c r="G705" s="19"/>
      <c r="H705" s="19">
        <v>133500</v>
      </c>
      <c r="I705" s="19">
        <v>-133500</v>
      </c>
      <c r="J705" s="20">
        <v>39</v>
      </c>
    </row>
    <row r="706" spans="1:10" x14ac:dyDescent="0.25">
      <c r="A706" s="18">
        <v>47118</v>
      </c>
      <c r="B706" s="18">
        <v>47118</v>
      </c>
      <c r="C706" s="11" t="s">
        <v>280</v>
      </c>
      <c r="D706" s="11" t="s">
        <v>166</v>
      </c>
      <c r="E706" s="13" t="s">
        <v>167</v>
      </c>
      <c r="F706" s="13" t="s">
        <v>234</v>
      </c>
      <c r="G706" s="19">
        <v>133500</v>
      </c>
      <c r="H706" s="19"/>
      <c r="I706" s="19">
        <v>133500</v>
      </c>
      <c r="J706" s="20">
        <v>39</v>
      </c>
    </row>
    <row r="707" spans="1:10" x14ac:dyDescent="0.25">
      <c r="A707" s="18">
        <v>47118</v>
      </c>
      <c r="B707" s="18">
        <v>47118</v>
      </c>
      <c r="C707" s="11" t="s">
        <v>280</v>
      </c>
      <c r="D707" s="11" t="s">
        <v>145</v>
      </c>
      <c r="E707" s="13" t="s">
        <v>146</v>
      </c>
      <c r="F707" s="13" t="s">
        <v>234</v>
      </c>
      <c r="G707" s="19"/>
      <c r="H707" s="19">
        <v>133500</v>
      </c>
      <c r="I707" s="19">
        <v>-133500</v>
      </c>
      <c r="J707" s="20">
        <v>39</v>
      </c>
    </row>
    <row r="708" spans="1:10" x14ac:dyDescent="0.25">
      <c r="A708" s="18">
        <v>47118</v>
      </c>
      <c r="B708" s="18">
        <v>47118</v>
      </c>
      <c r="C708" s="11" t="s">
        <v>280</v>
      </c>
      <c r="D708" s="11" t="s">
        <v>145</v>
      </c>
      <c r="E708" s="13" t="s">
        <v>146</v>
      </c>
      <c r="F708" s="13" t="s">
        <v>262</v>
      </c>
      <c r="G708" s="19">
        <v>58000000</v>
      </c>
      <c r="H708" s="19"/>
      <c r="I708" s="19">
        <v>58000000</v>
      </c>
      <c r="J708" s="20">
        <v>39</v>
      </c>
    </row>
    <row r="709" spans="1:10" x14ac:dyDescent="0.25">
      <c r="A709" s="18">
        <v>47118</v>
      </c>
      <c r="B709" s="18">
        <v>47118</v>
      </c>
      <c r="C709" s="11" t="s">
        <v>280</v>
      </c>
      <c r="D709" s="11" t="s">
        <v>151</v>
      </c>
      <c r="E709" s="13" t="s">
        <v>152</v>
      </c>
      <c r="F709" s="13" t="s">
        <v>262</v>
      </c>
      <c r="G709" s="19"/>
      <c r="H709" s="19">
        <v>25000000</v>
      </c>
      <c r="I709" s="19">
        <v>-25000000</v>
      </c>
      <c r="J709" s="20">
        <v>39</v>
      </c>
    </row>
    <row r="710" spans="1:10" x14ac:dyDescent="0.25">
      <c r="A710" s="18">
        <v>47118</v>
      </c>
      <c r="B710" s="18">
        <v>47118</v>
      </c>
      <c r="C710" s="11" t="s">
        <v>280</v>
      </c>
      <c r="D710" s="11" t="s">
        <v>217</v>
      </c>
      <c r="E710" s="13" t="s">
        <v>218</v>
      </c>
      <c r="F710" s="13" t="s">
        <v>262</v>
      </c>
      <c r="G710" s="19"/>
      <c r="H710" s="19">
        <v>33000000</v>
      </c>
      <c r="I710" s="19">
        <v>-33000000</v>
      </c>
      <c r="J710" s="20">
        <v>39</v>
      </c>
    </row>
    <row r="711" spans="1:10" x14ac:dyDescent="0.25">
      <c r="A711" s="18">
        <v>47118</v>
      </c>
      <c r="B711" s="18">
        <v>47118</v>
      </c>
      <c r="C711" s="11" t="s">
        <v>280</v>
      </c>
      <c r="D711" s="11" t="s">
        <v>145</v>
      </c>
      <c r="E711" s="13" t="s">
        <v>146</v>
      </c>
      <c r="F711" s="13" t="s">
        <v>236</v>
      </c>
      <c r="G711" s="19">
        <v>16192277.699999999</v>
      </c>
      <c r="H711" s="19"/>
      <c r="I711" s="19">
        <v>16192277.699999999</v>
      </c>
      <c r="J711" s="20">
        <v>39</v>
      </c>
    </row>
    <row r="712" spans="1:10" x14ac:dyDescent="0.25">
      <c r="A712" s="18">
        <v>47118</v>
      </c>
      <c r="B712" s="18">
        <v>47118</v>
      </c>
      <c r="C712" s="11" t="s">
        <v>280</v>
      </c>
      <c r="D712" s="11" t="s">
        <v>151</v>
      </c>
      <c r="E712" s="13" t="s">
        <v>152</v>
      </c>
      <c r="F712" s="13" t="s">
        <v>236</v>
      </c>
      <c r="G712" s="19"/>
      <c r="H712" s="19">
        <v>16192277.699999999</v>
      </c>
      <c r="I712" s="19">
        <v>-16192277.699999999</v>
      </c>
      <c r="J712" s="20">
        <v>39</v>
      </c>
    </row>
    <row r="713" spans="1:10" x14ac:dyDescent="0.25">
      <c r="A713" s="18">
        <v>47118</v>
      </c>
      <c r="B713" s="18">
        <v>47118</v>
      </c>
      <c r="C713" s="11" t="s">
        <v>280</v>
      </c>
      <c r="D713" s="11" t="s">
        <v>219</v>
      </c>
      <c r="E713" s="13" t="s">
        <v>220</v>
      </c>
      <c r="F713" s="13" t="s">
        <v>240</v>
      </c>
      <c r="G713" s="19">
        <v>28000000</v>
      </c>
      <c r="H713" s="19"/>
      <c r="I713" s="19">
        <v>28000000</v>
      </c>
      <c r="J713" s="20">
        <v>39</v>
      </c>
    </row>
    <row r="714" spans="1:10" x14ac:dyDescent="0.25">
      <c r="A714" s="18">
        <v>47118</v>
      </c>
      <c r="B714" s="18">
        <v>47118</v>
      </c>
      <c r="C714" s="11" t="s">
        <v>280</v>
      </c>
      <c r="D714" s="11" t="s">
        <v>153</v>
      </c>
      <c r="E714" s="13" t="s">
        <v>154</v>
      </c>
      <c r="F714" s="13" t="s">
        <v>240</v>
      </c>
      <c r="G714" s="19"/>
      <c r="H714" s="19">
        <v>28000000</v>
      </c>
      <c r="I714" s="19">
        <v>-28000000</v>
      </c>
      <c r="J714" s="20">
        <v>39</v>
      </c>
    </row>
    <row r="715" spans="1:10" x14ac:dyDescent="0.25">
      <c r="A715" s="18">
        <v>47118</v>
      </c>
      <c r="B715" s="18">
        <v>47118</v>
      </c>
      <c r="C715" s="11" t="s">
        <v>280</v>
      </c>
      <c r="D715" s="11" t="s">
        <v>183</v>
      </c>
      <c r="E715" s="13" t="s">
        <v>184</v>
      </c>
      <c r="F715" s="13" t="s">
        <v>263</v>
      </c>
      <c r="G715" s="19">
        <v>73600000</v>
      </c>
      <c r="H715" s="19"/>
      <c r="I715" s="19">
        <v>73600000</v>
      </c>
      <c r="J715" s="20">
        <v>39</v>
      </c>
    </row>
    <row r="716" spans="1:10" x14ac:dyDescent="0.25">
      <c r="A716" s="18">
        <v>47118</v>
      </c>
      <c r="B716" s="18">
        <v>47118</v>
      </c>
      <c r="C716" s="11" t="s">
        <v>280</v>
      </c>
      <c r="D716" s="11" t="s">
        <v>145</v>
      </c>
      <c r="E716" s="13" t="s">
        <v>146</v>
      </c>
      <c r="F716" s="13" t="s">
        <v>263</v>
      </c>
      <c r="G716" s="19"/>
      <c r="H716" s="19">
        <v>73600000</v>
      </c>
      <c r="I716" s="19">
        <v>-73600000</v>
      </c>
      <c r="J716" s="20">
        <v>39</v>
      </c>
    </row>
    <row r="717" spans="1:10" x14ac:dyDescent="0.25">
      <c r="A717" s="18">
        <v>47208</v>
      </c>
      <c r="B717" s="18">
        <v>47208</v>
      </c>
      <c r="C717" s="11" t="s">
        <v>281</v>
      </c>
      <c r="D717" s="11" t="s">
        <v>196</v>
      </c>
      <c r="E717" s="13" t="s">
        <v>197</v>
      </c>
      <c r="F717" s="13" t="s">
        <v>233</v>
      </c>
      <c r="G717" s="19">
        <v>90000</v>
      </c>
      <c r="H717" s="19"/>
      <c r="I717" s="19">
        <v>90000</v>
      </c>
      <c r="J717" s="20">
        <v>40</v>
      </c>
    </row>
    <row r="718" spans="1:10" x14ac:dyDescent="0.25">
      <c r="A718" s="18">
        <v>47208</v>
      </c>
      <c r="B718" s="18">
        <v>47208</v>
      </c>
      <c r="C718" s="11" t="s">
        <v>281</v>
      </c>
      <c r="D718" s="11" t="s">
        <v>170</v>
      </c>
      <c r="E718" s="13" t="s">
        <v>171</v>
      </c>
      <c r="F718" s="13" t="s">
        <v>233</v>
      </c>
      <c r="G718" s="19"/>
      <c r="H718" s="19">
        <v>90000</v>
      </c>
      <c r="I718" s="19">
        <v>-90000</v>
      </c>
      <c r="J718" s="20">
        <v>40</v>
      </c>
    </row>
    <row r="719" spans="1:10" x14ac:dyDescent="0.25">
      <c r="A719" s="18">
        <v>47208</v>
      </c>
      <c r="B719" s="18">
        <v>47208</v>
      </c>
      <c r="C719" s="11" t="s">
        <v>281</v>
      </c>
      <c r="D719" s="11" t="s">
        <v>170</v>
      </c>
      <c r="E719" s="13" t="s">
        <v>171</v>
      </c>
      <c r="F719" s="13" t="s">
        <v>233</v>
      </c>
      <c r="G719" s="19">
        <v>90000</v>
      </c>
      <c r="H719" s="19"/>
      <c r="I719" s="19">
        <v>90000</v>
      </c>
      <c r="J719" s="20">
        <v>40</v>
      </c>
    </row>
    <row r="720" spans="1:10" x14ac:dyDescent="0.25">
      <c r="A720" s="18">
        <v>47208</v>
      </c>
      <c r="B720" s="18">
        <v>47208</v>
      </c>
      <c r="C720" s="11" t="s">
        <v>281</v>
      </c>
      <c r="D720" s="11" t="s">
        <v>145</v>
      </c>
      <c r="E720" s="13" t="s">
        <v>146</v>
      </c>
      <c r="F720" s="13" t="s">
        <v>233</v>
      </c>
      <c r="G720" s="19"/>
      <c r="H720" s="19">
        <v>90000</v>
      </c>
      <c r="I720" s="19">
        <v>-90000</v>
      </c>
      <c r="J720" s="20">
        <v>40</v>
      </c>
    </row>
    <row r="721" spans="1:10" x14ac:dyDescent="0.25">
      <c r="A721" s="18">
        <v>47208</v>
      </c>
      <c r="B721" s="18">
        <v>47208</v>
      </c>
      <c r="C721" s="11" t="s">
        <v>281</v>
      </c>
      <c r="D721" s="11" t="s">
        <v>209</v>
      </c>
      <c r="E721" s="13" t="s">
        <v>210</v>
      </c>
      <c r="F721" s="13" t="s">
        <v>234</v>
      </c>
      <c r="G721" s="19">
        <v>55000</v>
      </c>
      <c r="H721" s="19"/>
      <c r="I721" s="19">
        <v>55000</v>
      </c>
      <c r="J721" s="20">
        <v>40</v>
      </c>
    </row>
    <row r="722" spans="1:10" x14ac:dyDescent="0.25">
      <c r="A722" s="18">
        <v>47208</v>
      </c>
      <c r="B722" s="18">
        <v>47208</v>
      </c>
      <c r="C722" s="11" t="s">
        <v>281</v>
      </c>
      <c r="D722" s="11" t="s">
        <v>205</v>
      </c>
      <c r="E722" s="13" t="s">
        <v>206</v>
      </c>
      <c r="F722" s="13" t="s">
        <v>234</v>
      </c>
      <c r="G722" s="19">
        <v>48000</v>
      </c>
      <c r="H722" s="19"/>
      <c r="I722" s="19">
        <v>48000</v>
      </c>
      <c r="J722" s="20">
        <v>40</v>
      </c>
    </row>
    <row r="723" spans="1:10" x14ac:dyDescent="0.25">
      <c r="A723" s="18">
        <v>47208</v>
      </c>
      <c r="B723" s="18">
        <v>47208</v>
      </c>
      <c r="C723" s="11" t="s">
        <v>281</v>
      </c>
      <c r="D723" s="11" t="s">
        <v>207</v>
      </c>
      <c r="E723" s="13" t="s">
        <v>208</v>
      </c>
      <c r="F723" s="13" t="s">
        <v>234</v>
      </c>
      <c r="G723" s="19">
        <v>15000</v>
      </c>
      <c r="H723" s="19"/>
      <c r="I723" s="19">
        <v>15000</v>
      </c>
      <c r="J723" s="20">
        <v>40</v>
      </c>
    </row>
    <row r="724" spans="1:10" x14ac:dyDescent="0.25">
      <c r="A724" s="18">
        <v>47208</v>
      </c>
      <c r="B724" s="18">
        <v>47208</v>
      </c>
      <c r="C724" s="11" t="s">
        <v>281</v>
      </c>
      <c r="D724" s="11" t="s">
        <v>211</v>
      </c>
      <c r="E724" s="13" t="s">
        <v>212</v>
      </c>
      <c r="F724" s="13" t="s">
        <v>234</v>
      </c>
      <c r="G724" s="19">
        <v>7500</v>
      </c>
      <c r="H724" s="19"/>
      <c r="I724" s="19">
        <v>7500</v>
      </c>
      <c r="J724" s="20">
        <v>40</v>
      </c>
    </row>
    <row r="725" spans="1:10" x14ac:dyDescent="0.25">
      <c r="A725" s="18">
        <v>47208</v>
      </c>
      <c r="B725" s="18">
        <v>47208</v>
      </c>
      <c r="C725" s="11" t="s">
        <v>281</v>
      </c>
      <c r="D725" s="11" t="s">
        <v>215</v>
      </c>
      <c r="E725" s="13" t="s">
        <v>216</v>
      </c>
      <c r="F725" s="13" t="s">
        <v>234</v>
      </c>
      <c r="G725" s="19">
        <v>8000</v>
      </c>
      <c r="H725" s="19"/>
      <c r="I725" s="19">
        <v>8000</v>
      </c>
      <c r="J725" s="20">
        <v>40</v>
      </c>
    </row>
    <row r="726" spans="1:10" x14ac:dyDescent="0.25">
      <c r="A726" s="18">
        <v>47208</v>
      </c>
      <c r="B726" s="18">
        <v>47208</v>
      </c>
      <c r="C726" s="11" t="s">
        <v>281</v>
      </c>
      <c r="D726" s="11" t="s">
        <v>166</v>
      </c>
      <c r="E726" s="13" t="s">
        <v>167</v>
      </c>
      <c r="F726" s="13" t="s">
        <v>234</v>
      </c>
      <c r="G726" s="19"/>
      <c r="H726" s="19">
        <v>133500</v>
      </c>
      <c r="I726" s="19">
        <v>-133500</v>
      </c>
      <c r="J726" s="20">
        <v>40</v>
      </c>
    </row>
    <row r="727" spans="1:10" x14ac:dyDescent="0.25">
      <c r="A727" s="18">
        <v>47208</v>
      </c>
      <c r="B727" s="18">
        <v>47208</v>
      </c>
      <c r="C727" s="11" t="s">
        <v>281</v>
      </c>
      <c r="D727" s="11" t="s">
        <v>166</v>
      </c>
      <c r="E727" s="13" t="s">
        <v>167</v>
      </c>
      <c r="F727" s="13" t="s">
        <v>234</v>
      </c>
      <c r="G727" s="19">
        <v>133500</v>
      </c>
      <c r="H727" s="19"/>
      <c r="I727" s="19">
        <v>133500</v>
      </c>
      <c r="J727" s="20">
        <v>40</v>
      </c>
    </row>
    <row r="728" spans="1:10" x14ac:dyDescent="0.25">
      <c r="A728" s="18">
        <v>47208</v>
      </c>
      <c r="B728" s="18">
        <v>47208</v>
      </c>
      <c r="C728" s="11" t="s">
        <v>281</v>
      </c>
      <c r="D728" s="11" t="s">
        <v>145</v>
      </c>
      <c r="E728" s="13" t="s">
        <v>146</v>
      </c>
      <c r="F728" s="13" t="s">
        <v>234</v>
      </c>
      <c r="G728" s="19"/>
      <c r="H728" s="19">
        <v>133500</v>
      </c>
      <c r="I728" s="19">
        <v>-133500</v>
      </c>
      <c r="J728" s="20">
        <v>40</v>
      </c>
    </row>
    <row r="729" spans="1:10" x14ac:dyDescent="0.25">
      <c r="A729" s="18">
        <v>47299</v>
      </c>
      <c r="B729" s="18">
        <v>47299</v>
      </c>
      <c r="C729" s="11" t="s">
        <v>282</v>
      </c>
      <c r="D729" s="11" t="s">
        <v>209</v>
      </c>
      <c r="E729" s="13" t="s">
        <v>210</v>
      </c>
      <c r="F729" s="13" t="s">
        <v>234</v>
      </c>
      <c r="G729" s="19">
        <v>55000</v>
      </c>
      <c r="H729" s="19"/>
      <c r="I729" s="19">
        <v>55000</v>
      </c>
      <c r="J729" s="20">
        <v>41</v>
      </c>
    </row>
    <row r="730" spans="1:10" x14ac:dyDescent="0.25">
      <c r="A730" s="18">
        <v>47299</v>
      </c>
      <c r="B730" s="18">
        <v>47299</v>
      </c>
      <c r="C730" s="11" t="s">
        <v>282</v>
      </c>
      <c r="D730" s="11" t="s">
        <v>205</v>
      </c>
      <c r="E730" s="13" t="s">
        <v>206</v>
      </c>
      <c r="F730" s="13" t="s">
        <v>234</v>
      </c>
      <c r="G730" s="19">
        <v>48000</v>
      </c>
      <c r="H730" s="19"/>
      <c r="I730" s="19">
        <v>48000</v>
      </c>
      <c r="J730" s="20">
        <v>41</v>
      </c>
    </row>
    <row r="731" spans="1:10" x14ac:dyDescent="0.25">
      <c r="A731" s="18">
        <v>47299</v>
      </c>
      <c r="B731" s="18">
        <v>47299</v>
      </c>
      <c r="C731" s="11" t="s">
        <v>282</v>
      </c>
      <c r="D731" s="11" t="s">
        <v>207</v>
      </c>
      <c r="E731" s="13" t="s">
        <v>208</v>
      </c>
      <c r="F731" s="13" t="s">
        <v>234</v>
      </c>
      <c r="G731" s="19">
        <v>15000</v>
      </c>
      <c r="H731" s="19"/>
      <c r="I731" s="19">
        <v>15000</v>
      </c>
      <c r="J731" s="20">
        <v>41</v>
      </c>
    </row>
    <row r="732" spans="1:10" x14ac:dyDescent="0.25">
      <c r="A732" s="18">
        <v>47299</v>
      </c>
      <c r="B732" s="18">
        <v>47299</v>
      </c>
      <c r="C732" s="11" t="s">
        <v>282</v>
      </c>
      <c r="D732" s="11" t="s">
        <v>211</v>
      </c>
      <c r="E732" s="13" t="s">
        <v>212</v>
      </c>
      <c r="F732" s="13" t="s">
        <v>234</v>
      </c>
      <c r="G732" s="19">
        <v>7500</v>
      </c>
      <c r="H732" s="19"/>
      <c r="I732" s="19">
        <v>7500</v>
      </c>
      <c r="J732" s="20">
        <v>41</v>
      </c>
    </row>
    <row r="733" spans="1:10" x14ac:dyDescent="0.25">
      <c r="A733" s="18">
        <v>47299</v>
      </c>
      <c r="B733" s="18">
        <v>47299</v>
      </c>
      <c r="C733" s="11" t="s">
        <v>282</v>
      </c>
      <c r="D733" s="11" t="s">
        <v>215</v>
      </c>
      <c r="E733" s="13" t="s">
        <v>216</v>
      </c>
      <c r="F733" s="13" t="s">
        <v>234</v>
      </c>
      <c r="G733" s="19">
        <v>8000</v>
      </c>
      <c r="H733" s="19"/>
      <c r="I733" s="19">
        <v>8000</v>
      </c>
      <c r="J733" s="20">
        <v>41</v>
      </c>
    </row>
    <row r="734" spans="1:10" x14ac:dyDescent="0.25">
      <c r="A734" s="18">
        <v>47299</v>
      </c>
      <c r="B734" s="18">
        <v>47299</v>
      </c>
      <c r="C734" s="11" t="s">
        <v>282</v>
      </c>
      <c r="D734" s="11" t="s">
        <v>166</v>
      </c>
      <c r="E734" s="13" t="s">
        <v>167</v>
      </c>
      <c r="F734" s="13" t="s">
        <v>234</v>
      </c>
      <c r="G734" s="19"/>
      <c r="H734" s="19">
        <v>133500</v>
      </c>
      <c r="I734" s="19">
        <v>-133500</v>
      </c>
      <c r="J734" s="20">
        <v>41</v>
      </c>
    </row>
    <row r="735" spans="1:10" x14ac:dyDescent="0.25">
      <c r="A735" s="18">
        <v>47299</v>
      </c>
      <c r="B735" s="18">
        <v>47299</v>
      </c>
      <c r="C735" s="11" t="s">
        <v>282</v>
      </c>
      <c r="D735" s="11" t="s">
        <v>166</v>
      </c>
      <c r="E735" s="13" t="s">
        <v>167</v>
      </c>
      <c r="F735" s="13" t="s">
        <v>234</v>
      </c>
      <c r="G735" s="19">
        <v>133500</v>
      </c>
      <c r="H735" s="19"/>
      <c r="I735" s="19">
        <v>133500</v>
      </c>
      <c r="J735" s="20">
        <v>41</v>
      </c>
    </row>
    <row r="736" spans="1:10" x14ac:dyDescent="0.25">
      <c r="A736" s="18">
        <v>47299</v>
      </c>
      <c r="B736" s="18">
        <v>47299</v>
      </c>
      <c r="C736" s="11" t="s">
        <v>282</v>
      </c>
      <c r="D736" s="11" t="s">
        <v>145</v>
      </c>
      <c r="E736" s="13" t="s">
        <v>146</v>
      </c>
      <c r="F736" s="13" t="s">
        <v>234</v>
      </c>
      <c r="G736" s="19"/>
      <c r="H736" s="19">
        <v>133500</v>
      </c>
      <c r="I736" s="19">
        <v>-133500</v>
      </c>
      <c r="J736" s="20">
        <v>41</v>
      </c>
    </row>
    <row r="737" spans="1:10" x14ac:dyDescent="0.25">
      <c r="A737" s="18">
        <v>47299</v>
      </c>
      <c r="B737" s="18">
        <v>47299</v>
      </c>
      <c r="C737" s="11" t="s">
        <v>282</v>
      </c>
      <c r="D737" s="11" t="s">
        <v>145</v>
      </c>
      <c r="E737" s="13" t="s">
        <v>146</v>
      </c>
      <c r="F737" s="13" t="s">
        <v>262</v>
      </c>
      <c r="G737" s="19">
        <v>62000000</v>
      </c>
      <c r="H737" s="19"/>
      <c r="I737" s="19">
        <v>62000000</v>
      </c>
      <c r="J737" s="20">
        <v>41</v>
      </c>
    </row>
    <row r="738" spans="1:10" x14ac:dyDescent="0.25">
      <c r="A738" s="18">
        <v>47299</v>
      </c>
      <c r="B738" s="18">
        <v>47299</v>
      </c>
      <c r="C738" s="11" t="s">
        <v>282</v>
      </c>
      <c r="D738" s="11" t="s">
        <v>151</v>
      </c>
      <c r="E738" s="13" t="s">
        <v>152</v>
      </c>
      <c r="F738" s="13" t="s">
        <v>262</v>
      </c>
      <c r="G738" s="19"/>
      <c r="H738" s="19">
        <v>18000000</v>
      </c>
      <c r="I738" s="19">
        <v>-18000000</v>
      </c>
      <c r="J738" s="20">
        <v>41</v>
      </c>
    </row>
    <row r="739" spans="1:10" x14ac:dyDescent="0.25">
      <c r="A739" s="18">
        <v>47299</v>
      </c>
      <c r="B739" s="18">
        <v>47299</v>
      </c>
      <c r="C739" s="11" t="s">
        <v>282</v>
      </c>
      <c r="D739" s="11" t="s">
        <v>217</v>
      </c>
      <c r="E739" s="13" t="s">
        <v>218</v>
      </c>
      <c r="F739" s="13" t="s">
        <v>262</v>
      </c>
      <c r="G739" s="19"/>
      <c r="H739" s="19">
        <v>44000000</v>
      </c>
      <c r="I739" s="19">
        <v>-44000000</v>
      </c>
      <c r="J739" s="20">
        <v>41</v>
      </c>
    </row>
    <row r="740" spans="1:10" x14ac:dyDescent="0.25">
      <c r="A740" s="18">
        <v>47299</v>
      </c>
      <c r="B740" s="18">
        <v>47299</v>
      </c>
      <c r="C740" s="11" t="s">
        <v>282</v>
      </c>
      <c r="D740" s="11" t="s">
        <v>219</v>
      </c>
      <c r="E740" s="13" t="s">
        <v>220</v>
      </c>
      <c r="F740" s="13" t="s">
        <v>240</v>
      </c>
      <c r="G740" s="19">
        <v>28000000</v>
      </c>
      <c r="H740" s="19"/>
      <c r="I740" s="19">
        <v>28000000</v>
      </c>
      <c r="J740" s="20">
        <v>41</v>
      </c>
    </row>
    <row r="741" spans="1:10" x14ac:dyDescent="0.25">
      <c r="A741" s="18">
        <v>47299</v>
      </c>
      <c r="B741" s="18">
        <v>47299</v>
      </c>
      <c r="C741" s="11" t="s">
        <v>282</v>
      </c>
      <c r="D741" s="11" t="s">
        <v>153</v>
      </c>
      <c r="E741" s="13" t="s">
        <v>154</v>
      </c>
      <c r="F741" s="13" t="s">
        <v>240</v>
      </c>
      <c r="G741" s="19"/>
      <c r="H741" s="19">
        <v>28000000</v>
      </c>
      <c r="I741" s="19">
        <v>-28000000</v>
      </c>
      <c r="J741" s="20">
        <v>41</v>
      </c>
    </row>
    <row r="742" spans="1:10" x14ac:dyDescent="0.25">
      <c r="A742" s="18">
        <v>47299</v>
      </c>
      <c r="B742" s="18">
        <v>47299</v>
      </c>
      <c r="C742" s="11" t="s">
        <v>282</v>
      </c>
      <c r="D742" s="11" t="s">
        <v>183</v>
      </c>
      <c r="E742" s="13" t="s">
        <v>184</v>
      </c>
      <c r="F742" s="13" t="s">
        <v>263</v>
      </c>
      <c r="G742" s="19">
        <v>61700000</v>
      </c>
      <c r="H742" s="19"/>
      <c r="I742" s="19">
        <v>61700000</v>
      </c>
      <c r="J742" s="20">
        <v>41</v>
      </c>
    </row>
    <row r="743" spans="1:10" x14ac:dyDescent="0.25">
      <c r="A743" s="18">
        <v>47299</v>
      </c>
      <c r="B743" s="18">
        <v>47299</v>
      </c>
      <c r="C743" s="11" t="s">
        <v>282</v>
      </c>
      <c r="D743" s="11" t="s">
        <v>145</v>
      </c>
      <c r="E743" s="13" t="s">
        <v>146</v>
      </c>
      <c r="F743" s="13" t="s">
        <v>263</v>
      </c>
      <c r="G743" s="19"/>
      <c r="H743" s="19">
        <v>61700000</v>
      </c>
      <c r="I743" s="19">
        <v>-61700000</v>
      </c>
      <c r="J743" s="20">
        <v>41</v>
      </c>
    </row>
    <row r="744" spans="1:10" x14ac:dyDescent="0.25">
      <c r="A744" s="18">
        <v>47391</v>
      </c>
      <c r="B744" s="18">
        <v>47391</v>
      </c>
      <c r="C744" s="11" t="s">
        <v>283</v>
      </c>
      <c r="D744" s="11" t="s">
        <v>209</v>
      </c>
      <c r="E744" s="13" t="s">
        <v>210</v>
      </c>
      <c r="F744" s="13" t="s">
        <v>234</v>
      </c>
      <c r="G744" s="19">
        <v>55000</v>
      </c>
      <c r="H744" s="19"/>
      <c r="I744" s="19">
        <v>55000</v>
      </c>
      <c r="J744" s="20">
        <v>42</v>
      </c>
    </row>
    <row r="745" spans="1:10" x14ac:dyDescent="0.25">
      <c r="A745" s="18">
        <v>47391</v>
      </c>
      <c r="B745" s="18">
        <v>47391</v>
      </c>
      <c r="C745" s="11" t="s">
        <v>283</v>
      </c>
      <c r="D745" s="11" t="s">
        <v>205</v>
      </c>
      <c r="E745" s="13" t="s">
        <v>206</v>
      </c>
      <c r="F745" s="13" t="s">
        <v>234</v>
      </c>
      <c r="G745" s="19">
        <v>48000</v>
      </c>
      <c r="H745" s="19"/>
      <c r="I745" s="19">
        <v>48000</v>
      </c>
      <c r="J745" s="20">
        <v>42</v>
      </c>
    </row>
    <row r="746" spans="1:10" x14ac:dyDescent="0.25">
      <c r="A746" s="18">
        <v>47391</v>
      </c>
      <c r="B746" s="18">
        <v>47391</v>
      </c>
      <c r="C746" s="11" t="s">
        <v>283</v>
      </c>
      <c r="D746" s="11" t="s">
        <v>207</v>
      </c>
      <c r="E746" s="13" t="s">
        <v>208</v>
      </c>
      <c r="F746" s="13" t="s">
        <v>234</v>
      </c>
      <c r="G746" s="19">
        <v>15000</v>
      </c>
      <c r="H746" s="19"/>
      <c r="I746" s="19">
        <v>15000</v>
      </c>
      <c r="J746" s="20">
        <v>42</v>
      </c>
    </row>
    <row r="747" spans="1:10" x14ac:dyDescent="0.25">
      <c r="A747" s="18">
        <v>47391</v>
      </c>
      <c r="B747" s="18">
        <v>47391</v>
      </c>
      <c r="C747" s="11" t="s">
        <v>283</v>
      </c>
      <c r="D747" s="11" t="s">
        <v>211</v>
      </c>
      <c r="E747" s="13" t="s">
        <v>212</v>
      </c>
      <c r="F747" s="13" t="s">
        <v>234</v>
      </c>
      <c r="G747" s="19">
        <v>7500</v>
      </c>
      <c r="H747" s="19"/>
      <c r="I747" s="19">
        <v>7500</v>
      </c>
      <c r="J747" s="20">
        <v>42</v>
      </c>
    </row>
    <row r="748" spans="1:10" x14ac:dyDescent="0.25">
      <c r="A748" s="18">
        <v>47391</v>
      </c>
      <c r="B748" s="18">
        <v>47391</v>
      </c>
      <c r="C748" s="11" t="s">
        <v>283</v>
      </c>
      <c r="D748" s="11" t="s">
        <v>215</v>
      </c>
      <c r="E748" s="13" t="s">
        <v>216</v>
      </c>
      <c r="F748" s="13" t="s">
        <v>234</v>
      </c>
      <c r="G748" s="19">
        <v>8000</v>
      </c>
      <c r="H748" s="19"/>
      <c r="I748" s="19">
        <v>8000</v>
      </c>
      <c r="J748" s="20">
        <v>42</v>
      </c>
    </row>
    <row r="749" spans="1:10" x14ac:dyDescent="0.25">
      <c r="A749" s="18">
        <v>47391</v>
      </c>
      <c r="B749" s="18">
        <v>47391</v>
      </c>
      <c r="C749" s="11" t="s">
        <v>283</v>
      </c>
      <c r="D749" s="11" t="s">
        <v>166</v>
      </c>
      <c r="E749" s="13" t="s">
        <v>167</v>
      </c>
      <c r="F749" s="13" t="s">
        <v>234</v>
      </c>
      <c r="G749" s="19"/>
      <c r="H749" s="19">
        <v>133500</v>
      </c>
      <c r="I749" s="19">
        <v>-133500</v>
      </c>
      <c r="J749" s="20">
        <v>42</v>
      </c>
    </row>
    <row r="750" spans="1:10" x14ac:dyDescent="0.25">
      <c r="A750" s="18">
        <v>47391</v>
      </c>
      <c r="B750" s="18">
        <v>47391</v>
      </c>
      <c r="C750" s="11" t="s">
        <v>283</v>
      </c>
      <c r="D750" s="11" t="s">
        <v>166</v>
      </c>
      <c r="E750" s="13" t="s">
        <v>167</v>
      </c>
      <c r="F750" s="13" t="s">
        <v>234</v>
      </c>
      <c r="G750" s="19">
        <v>133500</v>
      </c>
      <c r="H750" s="19"/>
      <c r="I750" s="19">
        <v>133500</v>
      </c>
      <c r="J750" s="20">
        <v>42</v>
      </c>
    </row>
    <row r="751" spans="1:10" x14ac:dyDescent="0.25">
      <c r="A751" s="18">
        <v>47391</v>
      </c>
      <c r="B751" s="18">
        <v>47391</v>
      </c>
      <c r="C751" s="11" t="s">
        <v>283</v>
      </c>
      <c r="D751" s="11" t="s">
        <v>145</v>
      </c>
      <c r="E751" s="13" t="s">
        <v>146</v>
      </c>
      <c r="F751" s="13" t="s">
        <v>234</v>
      </c>
      <c r="G751" s="19"/>
      <c r="H751" s="19">
        <v>133500</v>
      </c>
      <c r="I751" s="19">
        <v>-133500</v>
      </c>
      <c r="J751" s="20">
        <v>42</v>
      </c>
    </row>
    <row r="752" spans="1:10" x14ac:dyDescent="0.25">
      <c r="A752" s="18">
        <v>47483</v>
      </c>
      <c r="B752" s="18">
        <v>47483</v>
      </c>
      <c r="C752" s="11" t="s">
        <v>284</v>
      </c>
      <c r="D752" s="11" t="s">
        <v>209</v>
      </c>
      <c r="E752" s="13" t="s">
        <v>210</v>
      </c>
      <c r="F752" s="13" t="s">
        <v>234</v>
      </c>
      <c r="G752" s="19">
        <v>55000</v>
      </c>
      <c r="H752" s="19"/>
      <c r="I752" s="19">
        <v>55000</v>
      </c>
      <c r="J752" s="20">
        <v>43</v>
      </c>
    </row>
    <row r="753" spans="1:10" x14ac:dyDescent="0.25">
      <c r="A753" s="18">
        <v>47483</v>
      </c>
      <c r="B753" s="18">
        <v>47483</v>
      </c>
      <c r="C753" s="11" t="s">
        <v>284</v>
      </c>
      <c r="D753" s="11" t="s">
        <v>205</v>
      </c>
      <c r="E753" s="13" t="s">
        <v>206</v>
      </c>
      <c r="F753" s="13" t="s">
        <v>234</v>
      </c>
      <c r="G753" s="19">
        <v>48000</v>
      </c>
      <c r="H753" s="19"/>
      <c r="I753" s="19">
        <v>48000</v>
      </c>
      <c r="J753" s="20">
        <v>43</v>
      </c>
    </row>
    <row r="754" spans="1:10" x14ac:dyDescent="0.25">
      <c r="A754" s="18">
        <v>47483</v>
      </c>
      <c r="B754" s="18">
        <v>47483</v>
      </c>
      <c r="C754" s="11" t="s">
        <v>284</v>
      </c>
      <c r="D754" s="11" t="s">
        <v>207</v>
      </c>
      <c r="E754" s="13" t="s">
        <v>208</v>
      </c>
      <c r="F754" s="13" t="s">
        <v>234</v>
      </c>
      <c r="G754" s="19">
        <v>15000</v>
      </c>
      <c r="H754" s="19"/>
      <c r="I754" s="19">
        <v>15000</v>
      </c>
      <c r="J754" s="20">
        <v>43</v>
      </c>
    </row>
    <row r="755" spans="1:10" x14ac:dyDescent="0.25">
      <c r="A755" s="18">
        <v>47483</v>
      </c>
      <c r="B755" s="18">
        <v>47483</v>
      </c>
      <c r="C755" s="11" t="s">
        <v>284</v>
      </c>
      <c r="D755" s="11" t="s">
        <v>211</v>
      </c>
      <c r="E755" s="13" t="s">
        <v>212</v>
      </c>
      <c r="F755" s="13" t="s">
        <v>234</v>
      </c>
      <c r="G755" s="19">
        <v>7500</v>
      </c>
      <c r="H755" s="19"/>
      <c r="I755" s="19">
        <v>7500</v>
      </c>
      <c r="J755" s="20">
        <v>43</v>
      </c>
    </row>
    <row r="756" spans="1:10" x14ac:dyDescent="0.25">
      <c r="A756" s="18">
        <v>47483</v>
      </c>
      <c r="B756" s="18">
        <v>47483</v>
      </c>
      <c r="C756" s="11" t="s">
        <v>284</v>
      </c>
      <c r="D756" s="11" t="s">
        <v>215</v>
      </c>
      <c r="E756" s="13" t="s">
        <v>216</v>
      </c>
      <c r="F756" s="13" t="s">
        <v>234</v>
      </c>
      <c r="G756" s="19">
        <v>8000</v>
      </c>
      <c r="H756" s="19"/>
      <c r="I756" s="19">
        <v>8000</v>
      </c>
      <c r="J756" s="20">
        <v>43</v>
      </c>
    </row>
    <row r="757" spans="1:10" x14ac:dyDescent="0.25">
      <c r="A757" s="18">
        <v>47483</v>
      </c>
      <c r="B757" s="18">
        <v>47483</v>
      </c>
      <c r="C757" s="11" t="s">
        <v>284</v>
      </c>
      <c r="D757" s="11" t="s">
        <v>166</v>
      </c>
      <c r="E757" s="13" t="s">
        <v>167</v>
      </c>
      <c r="F757" s="13" t="s">
        <v>234</v>
      </c>
      <c r="G757" s="19"/>
      <c r="H757" s="19">
        <v>133500</v>
      </c>
      <c r="I757" s="19">
        <v>-133500</v>
      </c>
      <c r="J757" s="20">
        <v>43</v>
      </c>
    </row>
    <row r="758" spans="1:10" x14ac:dyDescent="0.25">
      <c r="A758" s="18">
        <v>47483</v>
      </c>
      <c r="B758" s="18">
        <v>47483</v>
      </c>
      <c r="C758" s="11" t="s">
        <v>284</v>
      </c>
      <c r="D758" s="11" t="s">
        <v>166</v>
      </c>
      <c r="E758" s="13" t="s">
        <v>167</v>
      </c>
      <c r="F758" s="13" t="s">
        <v>234</v>
      </c>
      <c r="G758" s="19">
        <v>133500</v>
      </c>
      <c r="H758" s="19"/>
      <c r="I758" s="19">
        <v>133500</v>
      </c>
      <c r="J758" s="20">
        <v>43</v>
      </c>
    </row>
    <row r="759" spans="1:10" x14ac:dyDescent="0.25">
      <c r="A759" s="18">
        <v>47483</v>
      </c>
      <c r="B759" s="18">
        <v>47483</v>
      </c>
      <c r="C759" s="11" t="s">
        <v>284</v>
      </c>
      <c r="D759" s="11" t="s">
        <v>145</v>
      </c>
      <c r="E759" s="13" t="s">
        <v>146</v>
      </c>
      <c r="F759" s="13" t="s">
        <v>234</v>
      </c>
      <c r="G759" s="19"/>
      <c r="H759" s="19">
        <v>133500</v>
      </c>
      <c r="I759" s="19">
        <v>-133500</v>
      </c>
      <c r="J759" s="20">
        <v>43</v>
      </c>
    </row>
    <row r="760" spans="1:10" x14ac:dyDescent="0.25">
      <c r="A760" s="18">
        <v>47573</v>
      </c>
      <c r="B760" s="18">
        <v>47573</v>
      </c>
      <c r="C760" s="11" t="s">
        <v>285</v>
      </c>
      <c r="D760" s="11" t="s">
        <v>209</v>
      </c>
      <c r="E760" s="13" t="s">
        <v>210</v>
      </c>
      <c r="F760" s="13" t="s">
        <v>234</v>
      </c>
      <c r="G760" s="19">
        <v>55000</v>
      </c>
      <c r="H760" s="19"/>
      <c r="I760" s="19">
        <v>55000</v>
      </c>
      <c r="J760" s="20">
        <v>44</v>
      </c>
    </row>
    <row r="761" spans="1:10" x14ac:dyDescent="0.25">
      <c r="A761" s="18">
        <v>47573</v>
      </c>
      <c r="B761" s="18">
        <v>47573</v>
      </c>
      <c r="C761" s="11" t="s">
        <v>285</v>
      </c>
      <c r="D761" s="11" t="s">
        <v>205</v>
      </c>
      <c r="E761" s="13" t="s">
        <v>206</v>
      </c>
      <c r="F761" s="13" t="s">
        <v>234</v>
      </c>
      <c r="G761" s="19">
        <v>48000</v>
      </c>
      <c r="H761" s="19"/>
      <c r="I761" s="19">
        <v>48000</v>
      </c>
      <c r="J761" s="20">
        <v>44</v>
      </c>
    </row>
    <row r="762" spans="1:10" x14ac:dyDescent="0.25">
      <c r="A762" s="18">
        <v>47573</v>
      </c>
      <c r="B762" s="18">
        <v>47573</v>
      </c>
      <c r="C762" s="11" t="s">
        <v>285</v>
      </c>
      <c r="D762" s="11" t="s">
        <v>207</v>
      </c>
      <c r="E762" s="13" t="s">
        <v>208</v>
      </c>
      <c r="F762" s="13" t="s">
        <v>234</v>
      </c>
      <c r="G762" s="19">
        <v>15000</v>
      </c>
      <c r="H762" s="19"/>
      <c r="I762" s="19">
        <v>15000</v>
      </c>
      <c r="J762" s="20">
        <v>44</v>
      </c>
    </row>
    <row r="763" spans="1:10" x14ac:dyDescent="0.25">
      <c r="A763" s="18">
        <v>47573</v>
      </c>
      <c r="B763" s="18">
        <v>47573</v>
      </c>
      <c r="C763" s="11" t="s">
        <v>285</v>
      </c>
      <c r="D763" s="11" t="s">
        <v>211</v>
      </c>
      <c r="E763" s="13" t="s">
        <v>212</v>
      </c>
      <c r="F763" s="13" t="s">
        <v>234</v>
      </c>
      <c r="G763" s="19">
        <v>7500</v>
      </c>
      <c r="H763" s="19"/>
      <c r="I763" s="19">
        <v>7500</v>
      </c>
      <c r="J763" s="20">
        <v>44</v>
      </c>
    </row>
    <row r="764" spans="1:10" x14ac:dyDescent="0.25">
      <c r="A764" s="18">
        <v>47573</v>
      </c>
      <c r="B764" s="18">
        <v>47573</v>
      </c>
      <c r="C764" s="11" t="s">
        <v>285</v>
      </c>
      <c r="D764" s="11" t="s">
        <v>215</v>
      </c>
      <c r="E764" s="13" t="s">
        <v>216</v>
      </c>
      <c r="F764" s="13" t="s">
        <v>234</v>
      </c>
      <c r="G764" s="19">
        <v>8000</v>
      </c>
      <c r="H764" s="19"/>
      <c r="I764" s="19">
        <v>8000</v>
      </c>
      <c r="J764" s="20">
        <v>44</v>
      </c>
    </row>
    <row r="765" spans="1:10" x14ac:dyDescent="0.25">
      <c r="A765" s="18">
        <v>47573</v>
      </c>
      <c r="B765" s="18">
        <v>47573</v>
      </c>
      <c r="C765" s="11" t="s">
        <v>285</v>
      </c>
      <c r="D765" s="11" t="s">
        <v>166</v>
      </c>
      <c r="E765" s="13" t="s">
        <v>167</v>
      </c>
      <c r="F765" s="13" t="s">
        <v>234</v>
      </c>
      <c r="G765" s="19"/>
      <c r="H765" s="19">
        <v>133500</v>
      </c>
      <c r="I765" s="19">
        <v>-133500</v>
      </c>
      <c r="J765" s="20">
        <v>44</v>
      </c>
    </row>
    <row r="766" spans="1:10" x14ac:dyDescent="0.25">
      <c r="A766" s="18">
        <v>47573</v>
      </c>
      <c r="B766" s="18">
        <v>47573</v>
      </c>
      <c r="C766" s="11" t="s">
        <v>285</v>
      </c>
      <c r="D766" s="11" t="s">
        <v>166</v>
      </c>
      <c r="E766" s="13" t="s">
        <v>167</v>
      </c>
      <c r="F766" s="13" t="s">
        <v>234</v>
      </c>
      <c r="G766" s="19">
        <v>133500</v>
      </c>
      <c r="H766" s="19"/>
      <c r="I766" s="19">
        <v>133500</v>
      </c>
      <c r="J766" s="20">
        <v>44</v>
      </c>
    </row>
    <row r="767" spans="1:10" x14ac:dyDescent="0.25">
      <c r="A767" s="18">
        <v>47573</v>
      </c>
      <c r="B767" s="18">
        <v>47573</v>
      </c>
      <c r="C767" s="11" t="s">
        <v>285</v>
      </c>
      <c r="D767" s="11" t="s">
        <v>145</v>
      </c>
      <c r="E767" s="13" t="s">
        <v>146</v>
      </c>
      <c r="F767" s="13" t="s">
        <v>234</v>
      </c>
      <c r="G767" s="19"/>
      <c r="H767" s="19">
        <v>133500</v>
      </c>
      <c r="I767" s="19">
        <v>-133500</v>
      </c>
      <c r="J767" s="20">
        <v>44</v>
      </c>
    </row>
    <row r="768" spans="1:10" x14ac:dyDescent="0.25">
      <c r="A768" s="18">
        <v>47664</v>
      </c>
      <c r="B768" s="18">
        <v>47664</v>
      </c>
      <c r="C768" s="11" t="s">
        <v>286</v>
      </c>
      <c r="D768" s="11" t="s">
        <v>209</v>
      </c>
      <c r="E768" s="13" t="s">
        <v>210</v>
      </c>
      <c r="F768" s="13" t="s">
        <v>234</v>
      </c>
      <c r="G768" s="19">
        <v>55000</v>
      </c>
      <c r="H768" s="19"/>
      <c r="I768" s="19">
        <v>55000</v>
      </c>
      <c r="J768" s="20">
        <v>45</v>
      </c>
    </row>
    <row r="769" spans="1:10" x14ac:dyDescent="0.25">
      <c r="A769" s="18">
        <v>47664</v>
      </c>
      <c r="B769" s="18">
        <v>47664</v>
      </c>
      <c r="C769" s="11" t="s">
        <v>286</v>
      </c>
      <c r="D769" s="11" t="s">
        <v>205</v>
      </c>
      <c r="E769" s="13" t="s">
        <v>206</v>
      </c>
      <c r="F769" s="13" t="s">
        <v>234</v>
      </c>
      <c r="G769" s="19">
        <v>48000</v>
      </c>
      <c r="H769" s="19"/>
      <c r="I769" s="19">
        <v>48000</v>
      </c>
      <c r="J769" s="20">
        <v>45</v>
      </c>
    </row>
    <row r="770" spans="1:10" x14ac:dyDescent="0.25">
      <c r="A770" s="18">
        <v>47664</v>
      </c>
      <c r="B770" s="18">
        <v>47664</v>
      </c>
      <c r="C770" s="11" t="s">
        <v>286</v>
      </c>
      <c r="D770" s="11" t="s">
        <v>207</v>
      </c>
      <c r="E770" s="13" t="s">
        <v>208</v>
      </c>
      <c r="F770" s="13" t="s">
        <v>234</v>
      </c>
      <c r="G770" s="19">
        <v>15000</v>
      </c>
      <c r="H770" s="19"/>
      <c r="I770" s="19">
        <v>15000</v>
      </c>
      <c r="J770" s="20">
        <v>45</v>
      </c>
    </row>
    <row r="771" spans="1:10" x14ac:dyDescent="0.25">
      <c r="A771" s="18">
        <v>47664</v>
      </c>
      <c r="B771" s="18">
        <v>47664</v>
      </c>
      <c r="C771" s="11" t="s">
        <v>286</v>
      </c>
      <c r="D771" s="11" t="s">
        <v>211</v>
      </c>
      <c r="E771" s="13" t="s">
        <v>212</v>
      </c>
      <c r="F771" s="13" t="s">
        <v>234</v>
      </c>
      <c r="G771" s="19">
        <v>7500</v>
      </c>
      <c r="H771" s="19"/>
      <c r="I771" s="19">
        <v>7500</v>
      </c>
      <c r="J771" s="20">
        <v>45</v>
      </c>
    </row>
    <row r="772" spans="1:10" x14ac:dyDescent="0.25">
      <c r="A772" s="18">
        <v>47664</v>
      </c>
      <c r="B772" s="18">
        <v>47664</v>
      </c>
      <c r="C772" s="11" t="s">
        <v>286</v>
      </c>
      <c r="D772" s="11" t="s">
        <v>215</v>
      </c>
      <c r="E772" s="13" t="s">
        <v>216</v>
      </c>
      <c r="F772" s="13" t="s">
        <v>234</v>
      </c>
      <c r="G772" s="19">
        <v>8000</v>
      </c>
      <c r="H772" s="19"/>
      <c r="I772" s="19">
        <v>8000</v>
      </c>
      <c r="J772" s="20">
        <v>45</v>
      </c>
    </row>
    <row r="773" spans="1:10" x14ac:dyDescent="0.25">
      <c r="A773" s="18">
        <v>47664</v>
      </c>
      <c r="B773" s="18">
        <v>47664</v>
      </c>
      <c r="C773" s="11" t="s">
        <v>286</v>
      </c>
      <c r="D773" s="11" t="s">
        <v>166</v>
      </c>
      <c r="E773" s="13" t="s">
        <v>167</v>
      </c>
      <c r="F773" s="13" t="s">
        <v>234</v>
      </c>
      <c r="G773" s="19"/>
      <c r="H773" s="19">
        <v>133500</v>
      </c>
      <c r="I773" s="19">
        <v>-133500</v>
      </c>
      <c r="J773" s="20">
        <v>45</v>
      </c>
    </row>
    <row r="774" spans="1:10" x14ac:dyDescent="0.25">
      <c r="A774" s="18">
        <v>47664</v>
      </c>
      <c r="B774" s="18">
        <v>47664</v>
      </c>
      <c r="C774" s="11" t="s">
        <v>286</v>
      </c>
      <c r="D774" s="11" t="s">
        <v>166</v>
      </c>
      <c r="E774" s="13" t="s">
        <v>167</v>
      </c>
      <c r="F774" s="13" t="s">
        <v>234</v>
      </c>
      <c r="G774" s="19">
        <v>133500</v>
      </c>
      <c r="H774" s="19"/>
      <c r="I774" s="19">
        <v>133500</v>
      </c>
      <c r="J774" s="20">
        <v>45</v>
      </c>
    </row>
    <row r="775" spans="1:10" x14ac:dyDescent="0.25">
      <c r="A775" s="18">
        <v>47664</v>
      </c>
      <c r="B775" s="18">
        <v>47664</v>
      </c>
      <c r="C775" s="11" t="s">
        <v>286</v>
      </c>
      <c r="D775" s="11" t="s">
        <v>145</v>
      </c>
      <c r="E775" s="13" t="s">
        <v>146</v>
      </c>
      <c r="F775" s="13" t="s">
        <v>234</v>
      </c>
      <c r="G775" s="19"/>
      <c r="H775" s="19">
        <v>133500</v>
      </c>
      <c r="I775" s="19">
        <v>-133500</v>
      </c>
      <c r="J775" s="20">
        <v>45</v>
      </c>
    </row>
    <row r="776" spans="1:10" x14ac:dyDescent="0.25">
      <c r="A776" s="18">
        <v>47664</v>
      </c>
      <c r="B776" s="18">
        <v>47664</v>
      </c>
      <c r="C776" s="11" t="s">
        <v>286</v>
      </c>
      <c r="D776" s="11" t="s">
        <v>183</v>
      </c>
      <c r="E776" s="13" t="s">
        <v>184</v>
      </c>
      <c r="F776" s="13" t="s">
        <v>263</v>
      </c>
      <c r="G776" s="19">
        <v>2467277.7000000002</v>
      </c>
      <c r="H776" s="19"/>
      <c r="I776" s="19">
        <v>2467277.7000000002</v>
      </c>
      <c r="J776" s="20">
        <v>45</v>
      </c>
    </row>
    <row r="777" spans="1:10" x14ac:dyDescent="0.25">
      <c r="A777" s="18">
        <v>47664</v>
      </c>
      <c r="B777" s="18">
        <v>47664</v>
      </c>
      <c r="C777" s="11" t="s">
        <v>286</v>
      </c>
      <c r="D777" s="11" t="s">
        <v>145</v>
      </c>
      <c r="E777" s="13" t="s">
        <v>146</v>
      </c>
      <c r="F777" s="13" t="s">
        <v>263</v>
      </c>
      <c r="G777" s="19"/>
      <c r="H777" s="19">
        <v>2467277.7000000002</v>
      </c>
      <c r="I777" s="19">
        <v>-2467277.7000000002</v>
      </c>
      <c r="J777" s="20">
        <v>45</v>
      </c>
    </row>
    <row r="778" spans="1:10" x14ac:dyDescent="0.25">
      <c r="A778" s="18"/>
      <c r="B778" s="18"/>
      <c r="C778" s="11"/>
      <c r="D778" s="11"/>
      <c r="E778" s="13"/>
      <c r="F778" s="13"/>
      <c r="G778" s="19"/>
      <c r="H778" s="19"/>
      <c r="I778" s="19"/>
      <c r="J778" s="20"/>
    </row>
    <row r="779" spans="1:10" x14ac:dyDescent="0.25">
      <c r="A779" s="18"/>
      <c r="B779" s="18"/>
      <c r="C779" s="11"/>
      <c r="D779" s="11"/>
      <c r="E779" s="13"/>
      <c r="F779" s="13"/>
      <c r="G779" s="19"/>
      <c r="H779" s="19"/>
      <c r="I779" s="19"/>
      <c r="J779" s="20"/>
    </row>
    <row r="780" spans="1:10" x14ac:dyDescent="0.25">
      <c r="A780" s="18"/>
      <c r="B780" s="18"/>
      <c r="C780" s="11"/>
      <c r="D780" s="11"/>
      <c r="E780" s="13"/>
      <c r="F780" s="13"/>
      <c r="G780" s="19"/>
      <c r="H780" s="19"/>
      <c r="I780" s="19"/>
      <c r="J780" s="20"/>
    </row>
    <row r="781" spans="1:10" x14ac:dyDescent="0.25">
      <c r="A781" s="18"/>
      <c r="B781" s="18"/>
      <c r="C781" s="11"/>
      <c r="D781" s="11"/>
      <c r="E781" s="13"/>
      <c r="F781" s="13"/>
      <c r="G781" s="19"/>
      <c r="H781" s="19"/>
      <c r="I781" s="19"/>
      <c r="J781" s="20"/>
    </row>
    <row r="782" spans="1:10" x14ac:dyDescent="0.25">
      <c r="A782" s="18"/>
      <c r="B782" s="18"/>
      <c r="C782" s="11"/>
      <c r="D782" s="11"/>
      <c r="E782" s="13"/>
      <c r="F782" s="13"/>
      <c r="G782" s="19"/>
      <c r="H782" s="19"/>
      <c r="I782" s="19"/>
      <c r="J782" s="20"/>
    </row>
    <row r="783" spans="1:10" x14ac:dyDescent="0.25">
      <c r="A783" s="18"/>
      <c r="B783" s="18"/>
      <c r="C783" s="11"/>
      <c r="D783" s="11"/>
      <c r="E783" s="13"/>
      <c r="F783" s="13"/>
      <c r="G783" s="19"/>
      <c r="H783" s="19"/>
      <c r="I783" s="19"/>
      <c r="J783" s="20"/>
    </row>
    <row r="784" spans="1:10" x14ac:dyDescent="0.25">
      <c r="A784" s="18"/>
      <c r="B784" s="18"/>
      <c r="C784" s="11"/>
      <c r="D784" s="11"/>
      <c r="E784" s="13"/>
      <c r="F784" s="13"/>
      <c r="G784" s="19"/>
      <c r="H784" s="19"/>
      <c r="I784" s="19"/>
      <c r="J784" s="20"/>
    </row>
    <row r="785" spans="1:10" x14ac:dyDescent="0.25">
      <c r="A785" s="18"/>
      <c r="B785" s="18"/>
      <c r="C785" s="11"/>
      <c r="D785" s="11"/>
      <c r="E785" s="13"/>
      <c r="F785" s="13"/>
      <c r="G785" s="19"/>
      <c r="H785" s="19"/>
      <c r="I785" s="19"/>
      <c r="J785" s="20"/>
    </row>
    <row r="786" spans="1:10" x14ac:dyDescent="0.25">
      <c r="F786" s="7" t="s">
        <v>287</v>
      </c>
      <c r="G786" s="21">
        <f>SUM(G5:G785)</f>
        <v>1769778050.1600003</v>
      </c>
      <c r="H786" s="21">
        <f>SUM(H5:H785)</f>
        <v>1769778050.1600003</v>
      </c>
      <c r="I786" s="21">
        <f>SUM(I5:I785)</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6"/>
  <sheetViews>
    <sheetView workbookViewId="0"/>
  </sheetViews>
  <sheetFormatPr defaultRowHeight="15" x14ac:dyDescent="0.25"/>
  <cols>
    <col min="1" max="1" width="13" customWidth="1"/>
    <col min="2" max="2" width="50" customWidth="1"/>
    <col min="3" max="3" width="16" customWidth="1"/>
    <col min="4" max="15" width="15" customWidth="1"/>
  </cols>
  <sheetData>
    <row r="1" spans="1:15" ht="18" customHeight="1" x14ac:dyDescent="0.25">
      <c r="A1" s="9" t="s">
        <v>30</v>
      </c>
    </row>
    <row r="2" spans="1:15" x14ac:dyDescent="0.25">
      <c r="A2" s="10" t="s">
        <v>288</v>
      </c>
    </row>
    <row r="4" spans="1:15" x14ac:dyDescent="0.25">
      <c r="A4" s="5" t="s">
        <v>141</v>
      </c>
      <c r="B4" s="5" t="s">
        <v>142</v>
      </c>
      <c r="C4" s="5" t="s">
        <v>289</v>
      </c>
      <c r="D4" s="5" t="s">
        <v>290</v>
      </c>
      <c r="E4" s="5" t="s">
        <v>291</v>
      </c>
      <c r="F4" s="5" t="s">
        <v>292</v>
      </c>
      <c r="G4" s="5" t="s">
        <v>293</v>
      </c>
      <c r="H4" s="5" t="s">
        <v>294</v>
      </c>
      <c r="I4" s="5" t="s">
        <v>295</v>
      </c>
      <c r="J4" s="5" t="s">
        <v>296</v>
      </c>
      <c r="K4" s="5" t="s">
        <v>297</v>
      </c>
      <c r="L4" s="5" t="s">
        <v>298</v>
      </c>
      <c r="M4" s="5" t="s">
        <v>299</v>
      </c>
      <c r="N4" s="5" t="s">
        <v>300</v>
      </c>
      <c r="O4" s="5" t="s">
        <v>301</v>
      </c>
    </row>
    <row r="5" spans="1:15" x14ac:dyDescent="0.25">
      <c r="A5" s="8" t="s">
        <v>145</v>
      </c>
      <c r="B5" s="8" t="s">
        <v>146</v>
      </c>
      <c r="C5" s="8" t="s">
        <v>302</v>
      </c>
      <c r="D5" s="22">
        <f>SUMIFS('Journal Entries'!$I$5:$I$785,'Journal Entries'!$D$5:$D$785,"1000",'Journal Entries'!$J$5:$J$785,"&lt;=3")</f>
        <v>292000</v>
      </c>
      <c r="E5" s="22">
        <f>SUMIFS('Journal Entries'!$I$5:$I$785,'Journal Entries'!$D$5:$D$785,"1000",'Journal Entries'!$J$5:$J$785,"&lt;=7")</f>
        <v>274000</v>
      </c>
      <c r="F5" s="22">
        <f>SUMIFS('Journal Entries'!$I$5:$I$785,'Journal Entries'!$D$5:$D$785,"1000",'Journal Entries'!$J$5:$J$785,"&lt;=11")</f>
        <v>2056000</v>
      </c>
      <c r="G5" s="22">
        <f>SUMIFS('Journal Entries'!$I$5:$I$785,'Journal Entries'!$D$5:$D$785,"1000",'Journal Entries'!$J$5:$J$785,"&lt;=15")</f>
        <v>1788000</v>
      </c>
      <c r="H5" s="22">
        <f>SUMIFS('Journal Entries'!$I$5:$I$785,'Journal Entries'!$D$5:$D$785,"1000",'Journal Entries'!$J$5:$J$785,"&lt;=19")</f>
        <v>1320000</v>
      </c>
      <c r="I5" s="22">
        <f>SUMIFS('Journal Entries'!$I$5:$I$785,'Journal Entries'!$D$5:$D$785,"1000",'Journal Entries'!$J$5:$J$785,"&lt;=23")</f>
        <v>1702000</v>
      </c>
      <c r="J5" s="22">
        <f>SUMIFS('Journal Entries'!$I$5:$I$785,'Journal Entries'!$D$5:$D$785,"1000",'Journal Entries'!$J$5:$J$785,"&lt;=27")</f>
        <v>1758000</v>
      </c>
      <c r="K5" s="22">
        <f>SUMIFS('Journal Entries'!$I$5:$I$785,'Journal Entries'!$D$5:$D$785,"1000",'Journal Entries'!$J$5:$J$785,"&lt;=31")</f>
        <v>304000</v>
      </c>
      <c r="L5" s="22">
        <f>SUMIFS('Journal Entries'!$I$5:$I$785,'Journal Entries'!$D$5:$D$785,"1000",'Journal Entries'!$J$5:$J$785,"&lt;=35")</f>
        <v>2075000</v>
      </c>
      <c r="M5" s="22">
        <f>SUMIFS('Journal Entries'!$I$5:$I$785,'Journal Entries'!$D$5:$D$785,"1000",'Journal Entries'!$J$5:$J$785,"&lt;=39")</f>
        <v>3058277.700000003</v>
      </c>
      <c r="N5" s="22">
        <f>SUMIFS('Journal Entries'!$I$5:$I$785,'Journal Entries'!$D$5:$D$785,"1000",'Journal Entries'!$J$5:$J$785,"&lt;=43")</f>
        <v>2734277.700000003</v>
      </c>
      <c r="O5" s="22">
        <f>SUMIFS('Journal Entries'!$I$5:$I$785,'Journal Entries'!$D$5:$D$785,"1000",'Journal Entries'!$J$5:$J$785,"&lt;=45")</f>
        <v>2.7939677238464355E-9</v>
      </c>
    </row>
    <row r="6" spans="1:15" x14ac:dyDescent="0.25">
      <c r="A6" s="8" t="s">
        <v>149</v>
      </c>
      <c r="B6" s="8" t="s">
        <v>150</v>
      </c>
      <c r="C6" s="8" t="s">
        <v>302</v>
      </c>
      <c r="D6" s="22">
        <f>SUMIFS('Journal Entries'!$I$5:$I$785,'Journal Entries'!$D$5:$D$785,"1050",'Journal Entries'!$J$5:$J$785,"&lt;=3")</f>
        <v>0</v>
      </c>
      <c r="E6" s="22">
        <f>SUMIFS('Journal Entries'!$I$5:$I$785,'Journal Entries'!$D$5:$D$785,"1050",'Journal Entries'!$J$5:$J$785,"&lt;=7")</f>
        <v>0</v>
      </c>
      <c r="F6" s="22">
        <f>SUMIFS('Journal Entries'!$I$5:$I$785,'Journal Entries'!$D$5:$D$785,"1050",'Journal Entries'!$J$5:$J$785,"&lt;=11")</f>
        <v>0</v>
      </c>
      <c r="G6" s="22">
        <f>SUMIFS('Journal Entries'!$I$5:$I$785,'Journal Entries'!$D$5:$D$785,"1050",'Journal Entries'!$J$5:$J$785,"&lt;=15")</f>
        <v>0</v>
      </c>
      <c r="H6" s="22">
        <f>SUMIFS('Journal Entries'!$I$5:$I$785,'Journal Entries'!$D$5:$D$785,"1050",'Journal Entries'!$J$5:$J$785,"&lt;=19")</f>
        <v>0</v>
      </c>
      <c r="I6" s="22">
        <f>SUMIFS('Journal Entries'!$I$5:$I$785,'Journal Entries'!$D$5:$D$785,"1050",'Journal Entries'!$J$5:$J$785,"&lt;=23")</f>
        <v>0</v>
      </c>
      <c r="J6" s="22">
        <f>SUMIFS('Journal Entries'!$I$5:$I$785,'Journal Entries'!$D$5:$D$785,"1050",'Journal Entries'!$J$5:$J$785,"&lt;=27")</f>
        <v>0</v>
      </c>
      <c r="K6" s="22">
        <f>SUMIFS('Journal Entries'!$I$5:$I$785,'Journal Entries'!$D$5:$D$785,"1050",'Journal Entries'!$J$5:$J$785,"&lt;=31")</f>
        <v>0</v>
      </c>
      <c r="L6" s="22">
        <f>SUMIFS('Journal Entries'!$I$5:$I$785,'Journal Entries'!$D$5:$D$785,"1050",'Journal Entries'!$J$5:$J$785,"&lt;=35")</f>
        <v>0</v>
      </c>
      <c r="M6" s="22">
        <f>SUMIFS('Journal Entries'!$I$5:$I$785,'Journal Entries'!$D$5:$D$785,"1050",'Journal Entries'!$J$5:$J$785,"&lt;=39")</f>
        <v>0</v>
      </c>
      <c r="N6" s="22">
        <f>SUMIFS('Journal Entries'!$I$5:$I$785,'Journal Entries'!$D$5:$D$785,"1050",'Journal Entries'!$J$5:$J$785,"&lt;=43")</f>
        <v>0</v>
      </c>
      <c r="O6" s="22">
        <f>SUMIFS('Journal Entries'!$I$5:$I$785,'Journal Entries'!$D$5:$D$785,"1050",'Journal Entries'!$J$5:$J$785,"&lt;=45")</f>
        <v>0</v>
      </c>
    </row>
    <row r="7" spans="1:15" x14ac:dyDescent="0.25">
      <c r="A7" s="8" t="s">
        <v>151</v>
      </c>
      <c r="B7" s="8" t="s">
        <v>152</v>
      </c>
      <c r="C7" s="8" t="s">
        <v>302</v>
      </c>
      <c r="D7" s="22">
        <f>SUMIFS('Journal Entries'!$I$5:$I$785,'Journal Entries'!$D$5:$D$785,"1100",'Journal Entries'!$J$5:$J$785,"&lt;=3")</f>
        <v>42000000</v>
      </c>
      <c r="E7" s="22">
        <f>SUMIFS('Journal Entries'!$I$5:$I$785,'Journal Entries'!$D$5:$D$785,"1100",'Journal Entries'!$J$5:$J$785,"&lt;=7")</f>
        <v>95750000</v>
      </c>
      <c r="F7" s="22">
        <f>SUMIFS('Journal Entries'!$I$5:$I$785,'Journal Entries'!$D$5:$D$785,"1100",'Journal Entries'!$J$5:$J$785,"&lt;=11")</f>
        <v>145000000</v>
      </c>
      <c r="G7" s="22">
        <f>SUMIFS('Journal Entries'!$I$5:$I$785,'Journal Entries'!$D$5:$D$785,"1100",'Journal Entries'!$J$5:$J$785,"&lt;=15")</f>
        <v>172298178</v>
      </c>
      <c r="H7" s="22">
        <f>SUMIFS('Journal Entries'!$I$5:$I$785,'Journal Entries'!$D$5:$D$785,"1100",'Journal Entries'!$J$5:$J$785,"&lt;=19")</f>
        <v>183218234.11000001</v>
      </c>
      <c r="I7" s="22">
        <f>SUMIFS('Journal Entries'!$I$5:$I$785,'Journal Entries'!$D$5:$D$785,"1100",'Journal Entries'!$J$5:$J$785,"&lt;=23")</f>
        <v>135379274.18000004</v>
      </c>
      <c r="J7" s="22">
        <f>SUMIFS('Journal Entries'!$I$5:$I$785,'Journal Entries'!$D$5:$D$785,"1100",'Journal Entries'!$J$5:$J$785,"&lt;=27")</f>
        <v>113811543.82000002</v>
      </c>
      <c r="K7" s="22">
        <f>SUMIFS('Journal Entries'!$I$5:$I$785,'Journal Entries'!$D$5:$D$785,"1100",'Journal Entries'!$J$5:$J$785,"&lt;=31")</f>
        <v>116549084.71000002</v>
      </c>
      <c r="L7" s="22">
        <f>SUMIFS('Journal Entries'!$I$5:$I$785,'Journal Entries'!$D$5:$D$785,"1100",'Journal Entries'!$J$5:$J$785,"&lt;=35")</f>
        <v>84630211.120000035</v>
      </c>
      <c r="M7" s="22">
        <f>SUMIFS('Journal Entries'!$I$5:$I$785,'Journal Entries'!$D$5:$D$785,"1100",'Journal Entries'!$J$5:$J$785,"&lt;=39")</f>
        <v>18000000.000000026</v>
      </c>
      <c r="N7" s="22">
        <f>SUMIFS('Journal Entries'!$I$5:$I$785,'Journal Entries'!$D$5:$D$785,"1100",'Journal Entries'!$J$5:$J$785,"&lt;=43")</f>
        <v>2.6077032089233398E-8</v>
      </c>
      <c r="O7" s="22">
        <f>SUMIFS('Journal Entries'!$I$5:$I$785,'Journal Entries'!$D$5:$D$785,"1100",'Journal Entries'!$J$5:$J$785,"&lt;=45")</f>
        <v>2.6077032089233398E-8</v>
      </c>
    </row>
    <row r="8" spans="1:15" x14ac:dyDescent="0.25">
      <c r="A8" s="8" t="s">
        <v>153</v>
      </c>
      <c r="B8" s="8" t="s">
        <v>154</v>
      </c>
      <c r="C8" s="8" t="s">
        <v>302</v>
      </c>
      <c r="D8" s="22">
        <f>SUMIFS('Journal Entries'!$I$5:$I$785,'Journal Entries'!$D$5:$D$785,"1110",'Journal Entries'!$J$5:$J$785,"&lt;=3")</f>
        <v>1500000</v>
      </c>
      <c r="E8" s="22">
        <f>SUMIFS('Journal Entries'!$I$5:$I$785,'Journal Entries'!$D$5:$D$785,"1110",'Journal Entries'!$J$5:$J$785,"&lt;=7")</f>
        <v>9000000</v>
      </c>
      <c r="F8" s="22">
        <f>SUMIFS('Journal Entries'!$I$5:$I$785,'Journal Entries'!$D$5:$D$785,"1110",'Journal Entries'!$J$5:$J$785,"&lt;=11")</f>
        <v>39000000</v>
      </c>
      <c r="G8" s="22">
        <f>SUMIFS('Journal Entries'!$I$5:$I$785,'Journal Entries'!$D$5:$D$785,"1110",'Journal Entries'!$J$5:$J$785,"&lt;=15")</f>
        <v>35000000</v>
      </c>
      <c r="H8" s="22">
        <f>SUMIFS('Journal Entries'!$I$5:$I$785,'Journal Entries'!$D$5:$D$785,"1110",'Journal Entries'!$J$5:$J$785,"&lt;=19")</f>
        <v>66000000</v>
      </c>
      <c r="I8" s="22">
        <f>SUMIFS('Journal Entries'!$I$5:$I$785,'Journal Entries'!$D$5:$D$785,"1110",'Journal Entries'!$J$5:$J$785,"&lt;=23")</f>
        <v>51000000</v>
      </c>
      <c r="J8" s="22">
        <f>SUMIFS('Journal Entries'!$I$5:$I$785,'Journal Entries'!$D$5:$D$785,"1110",'Journal Entries'!$J$5:$J$785,"&lt;=27")</f>
        <v>62500000</v>
      </c>
      <c r="K8" s="22">
        <f>SUMIFS('Journal Entries'!$I$5:$I$785,'Journal Entries'!$D$5:$D$785,"1110",'Journal Entries'!$J$5:$J$785,"&lt;=31")</f>
        <v>78000000</v>
      </c>
      <c r="L8" s="22">
        <f>SUMIFS('Journal Entries'!$I$5:$I$785,'Journal Entries'!$D$5:$D$785,"1110",'Journal Entries'!$J$5:$J$785,"&lt;=35")</f>
        <v>64000000</v>
      </c>
      <c r="M8" s="22">
        <f>SUMIFS('Journal Entries'!$I$5:$I$785,'Journal Entries'!$D$5:$D$785,"1110",'Journal Entries'!$J$5:$J$785,"&lt;=39")</f>
        <v>28000000</v>
      </c>
      <c r="N8" s="22">
        <f>SUMIFS('Journal Entries'!$I$5:$I$785,'Journal Entries'!$D$5:$D$785,"1110",'Journal Entries'!$J$5:$J$785,"&lt;=43")</f>
        <v>0</v>
      </c>
      <c r="O8" s="22">
        <f>SUMIFS('Journal Entries'!$I$5:$I$785,'Journal Entries'!$D$5:$D$785,"1110",'Journal Entries'!$J$5:$J$785,"&lt;=45")</f>
        <v>0</v>
      </c>
    </row>
    <row r="9" spans="1:15" x14ac:dyDescent="0.25">
      <c r="A9" s="8" t="s">
        <v>155</v>
      </c>
      <c r="B9" s="8" t="s">
        <v>156</v>
      </c>
      <c r="C9" s="8" t="s">
        <v>302</v>
      </c>
      <c r="D9" s="22">
        <f>SUMIFS('Journal Entries'!$I$5:$I$785,'Journal Entries'!$D$5:$D$785,"1150",'Journal Entries'!$J$5:$J$785,"&lt;=3")</f>
        <v>0</v>
      </c>
      <c r="E9" s="22">
        <f>SUMIFS('Journal Entries'!$I$5:$I$785,'Journal Entries'!$D$5:$D$785,"1150",'Journal Entries'!$J$5:$J$785,"&lt;=7")</f>
        <v>1250000</v>
      </c>
      <c r="F9" s="22">
        <f>SUMIFS('Journal Entries'!$I$5:$I$785,'Journal Entries'!$D$5:$D$785,"1150",'Journal Entries'!$J$5:$J$785,"&lt;=11")</f>
        <v>0</v>
      </c>
      <c r="G9" s="22">
        <f>SUMIFS('Journal Entries'!$I$5:$I$785,'Journal Entries'!$D$5:$D$785,"1150",'Journal Entries'!$J$5:$J$785,"&lt;=15")</f>
        <v>0</v>
      </c>
      <c r="H9" s="22">
        <f>SUMIFS('Journal Entries'!$I$5:$I$785,'Journal Entries'!$D$5:$D$785,"1150",'Journal Entries'!$J$5:$J$785,"&lt;=19")</f>
        <v>0</v>
      </c>
      <c r="I9" s="22">
        <f>SUMIFS('Journal Entries'!$I$5:$I$785,'Journal Entries'!$D$5:$D$785,"1150",'Journal Entries'!$J$5:$J$785,"&lt;=23")</f>
        <v>0</v>
      </c>
      <c r="J9" s="22">
        <f>SUMIFS('Journal Entries'!$I$5:$I$785,'Journal Entries'!$D$5:$D$785,"1150",'Journal Entries'!$J$5:$J$785,"&lt;=27")</f>
        <v>0</v>
      </c>
      <c r="K9" s="22">
        <f>SUMIFS('Journal Entries'!$I$5:$I$785,'Journal Entries'!$D$5:$D$785,"1150",'Journal Entries'!$J$5:$J$785,"&lt;=31")</f>
        <v>0</v>
      </c>
      <c r="L9" s="22">
        <f>SUMIFS('Journal Entries'!$I$5:$I$785,'Journal Entries'!$D$5:$D$785,"1150",'Journal Entries'!$J$5:$J$785,"&lt;=35")</f>
        <v>0</v>
      </c>
      <c r="M9" s="22">
        <f>SUMIFS('Journal Entries'!$I$5:$I$785,'Journal Entries'!$D$5:$D$785,"1150",'Journal Entries'!$J$5:$J$785,"&lt;=39")</f>
        <v>0</v>
      </c>
      <c r="N9" s="22">
        <f>SUMIFS('Journal Entries'!$I$5:$I$785,'Journal Entries'!$D$5:$D$785,"1150",'Journal Entries'!$J$5:$J$785,"&lt;=43")</f>
        <v>0</v>
      </c>
      <c r="O9" s="22">
        <f>SUMIFS('Journal Entries'!$I$5:$I$785,'Journal Entries'!$D$5:$D$785,"1150",'Journal Entries'!$J$5:$J$785,"&lt;=45")</f>
        <v>0</v>
      </c>
    </row>
    <row r="10" spans="1:15" x14ac:dyDescent="0.25">
      <c r="A10" s="8" t="s">
        <v>158</v>
      </c>
      <c r="B10" s="8" t="s">
        <v>159</v>
      </c>
      <c r="C10" s="8" t="s">
        <v>302</v>
      </c>
      <c r="D10" s="22">
        <f>SUMIFS('Journal Entries'!$I$5:$I$785,'Journal Entries'!$D$5:$D$785,"1200",'Journal Entries'!$J$5:$J$785,"&lt;=3")</f>
        <v>0</v>
      </c>
      <c r="E10" s="22">
        <f>SUMIFS('Journal Entries'!$I$5:$I$785,'Journal Entries'!$D$5:$D$785,"1200",'Journal Entries'!$J$5:$J$785,"&lt;=7")</f>
        <v>0</v>
      </c>
      <c r="F10" s="22">
        <f>SUMIFS('Journal Entries'!$I$5:$I$785,'Journal Entries'!$D$5:$D$785,"1200",'Journal Entries'!$J$5:$J$785,"&lt;=11")</f>
        <v>0</v>
      </c>
      <c r="G10" s="22">
        <f>SUMIFS('Journal Entries'!$I$5:$I$785,'Journal Entries'!$D$5:$D$785,"1200",'Journal Entries'!$J$5:$J$785,"&lt;=15")</f>
        <v>0</v>
      </c>
      <c r="H10" s="22">
        <f>SUMIFS('Journal Entries'!$I$5:$I$785,'Journal Entries'!$D$5:$D$785,"1200",'Journal Entries'!$J$5:$J$785,"&lt;=19")</f>
        <v>0</v>
      </c>
      <c r="I10" s="22">
        <f>SUMIFS('Journal Entries'!$I$5:$I$785,'Journal Entries'!$D$5:$D$785,"1200",'Journal Entries'!$J$5:$J$785,"&lt;=23")</f>
        <v>0</v>
      </c>
      <c r="J10" s="22">
        <f>SUMIFS('Journal Entries'!$I$5:$I$785,'Journal Entries'!$D$5:$D$785,"1200",'Journal Entries'!$J$5:$J$785,"&lt;=27")</f>
        <v>0</v>
      </c>
      <c r="K10" s="22">
        <f>SUMIFS('Journal Entries'!$I$5:$I$785,'Journal Entries'!$D$5:$D$785,"1200",'Journal Entries'!$J$5:$J$785,"&lt;=31")</f>
        <v>0</v>
      </c>
      <c r="L10" s="22">
        <f>SUMIFS('Journal Entries'!$I$5:$I$785,'Journal Entries'!$D$5:$D$785,"1200",'Journal Entries'!$J$5:$J$785,"&lt;=35")</f>
        <v>0</v>
      </c>
      <c r="M10" s="22">
        <f>SUMIFS('Journal Entries'!$I$5:$I$785,'Journal Entries'!$D$5:$D$785,"1200",'Journal Entries'!$J$5:$J$785,"&lt;=39")</f>
        <v>0</v>
      </c>
      <c r="N10" s="22">
        <f>SUMIFS('Journal Entries'!$I$5:$I$785,'Journal Entries'!$D$5:$D$785,"1200",'Journal Entries'!$J$5:$J$785,"&lt;=43")</f>
        <v>0</v>
      </c>
      <c r="O10" s="22">
        <f>SUMIFS('Journal Entries'!$I$5:$I$785,'Journal Entries'!$D$5:$D$785,"1200",'Journal Entries'!$J$5:$J$785,"&lt;=45")</f>
        <v>0</v>
      </c>
    </row>
    <row r="11" spans="1:15" x14ac:dyDescent="0.25">
      <c r="A11" s="8" t="s">
        <v>161</v>
      </c>
      <c r="B11" s="8" t="s">
        <v>162</v>
      </c>
      <c r="C11" s="8" t="s">
        <v>302</v>
      </c>
      <c r="D11" s="22">
        <f>SUMIFS('Journal Entries'!$I$5:$I$785,'Journal Entries'!$D$5:$D$785,"1250",'Journal Entries'!$J$5:$J$785,"&lt;=3")</f>
        <v>0</v>
      </c>
      <c r="E11" s="22">
        <f>SUMIFS('Journal Entries'!$I$5:$I$785,'Journal Entries'!$D$5:$D$785,"1250",'Journal Entries'!$J$5:$J$785,"&lt;=7")</f>
        <v>0</v>
      </c>
      <c r="F11" s="22">
        <f>SUMIFS('Journal Entries'!$I$5:$I$785,'Journal Entries'!$D$5:$D$785,"1250",'Journal Entries'!$J$5:$J$785,"&lt;=11")</f>
        <v>0</v>
      </c>
      <c r="G11" s="22">
        <f>SUMIFS('Journal Entries'!$I$5:$I$785,'Journal Entries'!$D$5:$D$785,"1250",'Journal Entries'!$J$5:$J$785,"&lt;=15")</f>
        <v>0</v>
      </c>
      <c r="H11" s="22">
        <f>SUMIFS('Journal Entries'!$I$5:$I$785,'Journal Entries'!$D$5:$D$785,"1250",'Journal Entries'!$J$5:$J$785,"&lt;=19")</f>
        <v>0</v>
      </c>
      <c r="I11" s="22">
        <f>SUMIFS('Journal Entries'!$I$5:$I$785,'Journal Entries'!$D$5:$D$785,"1250",'Journal Entries'!$J$5:$J$785,"&lt;=23")</f>
        <v>0</v>
      </c>
      <c r="J11" s="22">
        <f>SUMIFS('Journal Entries'!$I$5:$I$785,'Journal Entries'!$D$5:$D$785,"1250",'Journal Entries'!$J$5:$J$785,"&lt;=27")</f>
        <v>0</v>
      </c>
      <c r="K11" s="22">
        <f>SUMIFS('Journal Entries'!$I$5:$I$785,'Journal Entries'!$D$5:$D$785,"1250",'Journal Entries'!$J$5:$J$785,"&lt;=31")</f>
        <v>0</v>
      </c>
      <c r="L11" s="22">
        <f>SUMIFS('Journal Entries'!$I$5:$I$785,'Journal Entries'!$D$5:$D$785,"1250",'Journal Entries'!$J$5:$J$785,"&lt;=35")</f>
        <v>0</v>
      </c>
      <c r="M11" s="22">
        <f>SUMIFS('Journal Entries'!$I$5:$I$785,'Journal Entries'!$D$5:$D$785,"1250",'Journal Entries'!$J$5:$J$785,"&lt;=39")</f>
        <v>0</v>
      </c>
      <c r="N11" s="22">
        <f>SUMIFS('Journal Entries'!$I$5:$I$785,'Journal Entries'!$D$5:$D$785,"1250",'Journal Entries'!$J$5:$J$785,"&lt;=43")</f>
        <v>0</v>
      </c>
      <c r="O11" s="22">
        <f>SUMIFS('Journal Entries'!$I$5:$I$785,'Journal Entries'!$D$5:$D$785,"1250",'Journal Entries'!$J$5:$J$785,"&lt;=45")</f>
        <v>0</v>
      </c>
    </row>
    <row r="12" spans="1:15" x14ac:dyDescent="0.25">
      <c r="A12" s="8" t="s">
        <v>163</v>
      </c>
      <c r="B12" s="8" t="s">
        <v>164</v>
      </c>
      <c r="C12" s="8" t="s">
        <v>302</v>
      </c>
      <c r="D12" s="22">
        <f>SUMIFS('Journal Entries'!$I$5:$I$785,'Journal Entries'!$D$5:$D$785,"1300",'Journal Entries'!$J$5:$J$785,"&lt;=3")</f>
        <v>0</v>
      </c>
      <c r="E12" s="22">
        <f>SUMIFS('Journal Entries'!$I$5:$I$785,'Journal Entries'!$D$5:$D$785,"1300",'Journal Entries'!$J$5:$J$785,"&lt;=7")</f>
        <v>0</v>
      </c>
      <c r="F12" s="22">
        <f>SUMIFS('Journal Entries'!$I$5:$I$785,'Journal Entries'!$D$5:$D$785,"1300",'Journal Entries'!$J$5:$J$785,"&lt;=11")</f>
        <v>0</v>
      </c>
      <c r="G12" s="22">
        <f>SUMIFS('Journal Entries'!$I$5:$I$785,'Journal Entries'!$D$5:$D$785,"1300",'Journal Entries'!$J$5:$J$785,"&lt;=15")</f>
        <v>0</v>
      </c>
      <c r="H12" s="22">
        <f>SUMIFS('Journal Entries'!$I$5:$I$785,'Journal Entries'!$D$5:$D$785,"1300",'Journal Entries'!$J$5:$J$785,"&lt;=19")</f>
        <v>0</v>
      </c>
      <c r="I12" s="22">
        <f>SUMIFS('Journal Entries'!$I$5:$I$785,'Journal Entries'!$D$5:$D$785,"1300",'Journal Entries'!$J$5:$J$785,"&lt;=23")</f>
        <v>0</v>
      </c>
      <c r="J12" s="22">
        <f>SUMIFS('Journal Entries'!$I$5:$I$785,'Journal Entries'!$D$5:$D$785,"1300",'Journal Entries'!$J$5:$J$785,"&lt;=27")</f>
        <v>0</v>
      </c>
      <c r="K12" s="22">
        <f>SUMIFS('Journal Entries'!$I$5:$I$785,'Journal Entries'!$D$5:$D$785,"1300",'Journal Entries'!$J$5:$J$785,"&lt;=31")</f>
        <v>0</v>
      </c>
      <c r="L12" s="22">
        <f>SUMIFS('Journal Entries'!$I$5:$I$785,'Journal Entries'!$D$5:$D$785,"1300",'Journal Entries'!$J$5:$J$785,"&lt;=35")</f>
        <v>0</v>
      </c>
      <c r="M12" s="22">
        <f>SUMIFS('Journal Entries'!$I$5:$I$785,'Journal Entries'!$D$5:$D$785,"1300",'Journal Entries'!$J$5:$J$785,"&lt;=39")</f>
        <v>0</v>
      </c>
      <c r="N12" s="22">
        <f>SUMIFS('Journal Entries'!$I$5:$I$785,'Journal Entries'!$D$5:$D$785,"1300",'Journal Entries'!$J$5:$J$785,"&lt;=43")</f>
        <v>0</v>
      </c>
      <c r="O12" s="22">
        <f>SUMIFS('Journal Entries'!$I$5:$I$785,'Journal Entries'!$D$5:$D$785,"1300",'Journal Entries'!$J$5:$J$785,"&lt;=45")</f>
        <v>0</v>
      </c>
    </row>
    <row r="13" spans="1:15" x14ac:dyDescent="0.25">
      <c r="A13" s="8" t="s">
        <v>166</v>
      </c>
      <c r="B13" s="8" t="s">
        <v>167</v>
      </c>
      <c r="C13" s="8" t="s">
        <v>303</v>
      </c>
      <c r="D13" s="22">
        <f>SUMIFS('Journal Entries'!$I$5:$I$785,'Journal Entries'!$D$5:$D$785,"2000",'Journal Entries'!$J$5:$J$785,"&lt;=3")</f>
        <v>0</v>
      </c>
      <c r="E13" s="22">
        <f>SUMIFS('Journal Entries'!$I$5:$I$785,'Journal Entries'!$D$5:$D$785,"2000",'Journal Entries'!$J$5:$J$785,"&lt;=7")</f>
        <v>0</v>
      </c>
      <c r="F13" s="22">
        <f>SUMIFS('Journal Entries'!$I$5:$I$785,'Journal Entries'!$D$5:$D$785,"2000",'Journal Entries'!$J$5:$J$785,"&lt;=11")</f>
        <v>0</v>
      </c>
      <c r="G13" s="22">
        <f>SUMIFS('Journal Entries'!$I$5:$I$785,'Journal Entries'!$D$5:$D$785,"2000",'Journal Entries'!$J$5:$J$785,"&lt;=15")</f>
        <v>0</v>
      </c>
      <c r="H13" s="22">
        <f>SUMIFS('Journal Entries'!$I$5:$I$785,'Journal Entries'!$D$5:$D$785,"2000",'Journal Entries'!$J$5:$J$785,"&lt;=19")</f>
        <v>0</v>
      </c>
      <c r="I13" s="22">
        <f>SUMIFS('Journal Entries'!$I$5:$I$785,'Journal Entries'!$D$5:$D$785,"2000",'Journal Entries'!$J$5:$J$785,"&lt;=23")</f>
        <v>0</v>
      </c>
      <c r="J13" s="22">
        <f>SUMIFS('Journal Entries'!$I$5:$I$785,'Journal Entries'!$D$5:$D$785,"2000",'Journal Entries'!$J$5:$J$785,"&lt;=27")</f>
        <v>0</v>
      </c>
      <c r="K13" s="22">
        <f>SUMIFS('Journal Entries'!$I$5:$I$785,'Journal Entries'!$D$5:$D$785,"2000",'Journal Entries'!$J$5:$J$785,"&lt;=31")</f>
        <v>0</v>
      </c>
      <c r="L13" s="22">
        <f>SUMIFS('Journal Entries'!$I$5:$I$785,'Journal Entries'!$D$5:$D$785,"2000",'Journal Entries'!$J$5:$J$785,"&lt;=35")</f>
        <v>0</v>
      </c>
      <c r="M13" s="22">
        <f>SUMIFS('Journal Entries'!$I$5:$I$785,'Journal Entries'!$D$5:$D$785,"2000",'Journal Entries'!$J$5:$J$785,"&lt;=39")</f>
        <v>0</v>
      </c>
      <c r="N13" s="22">
        <f>SUMIFS('Journal Entries'!$I$5:$I$785,'Journal Entries'!$D$5:$D$785,"2000",'Journal Entries'!$J$5:$J$785,"&lt;=43")</f>
        <v>0</v>
      </c>
      <c r="O13" s="22">
        <f>SUMIFS('Journal Entries'!$I$5:$I$785,'Journal Entries'!$D$5:$D$785,"2000",'Journal Entries'!$J$5:$J$785,"&lt;=45")</f>
        <v>0</v>
      </c>
    </row>
    <row r="14" spans="1:15" x14ac:dyDescent="0.25">
      <c r="A14" s="8" t="s">
        <v>170</v>
      </c>
      <c r="B14" s="8" t="s">
        <v>171</v>
      </c>
      <c r="C14" s="8" t="s">
        <v>303</v>
      </c>
      <c r="D14" s="22">
        <f>SUMIFS('Journal Entries'!$I$5:$I$785,'Journal Entries'!$D$5:$D$785,"2100",'Journal Entries'!$J$5:$J$785,"&lt;=3")</f>
        <v>0</v>
      </c>
      <c r="E14" s="22">
        <f>SUMIFS('Journal Entries'!$I$5:$I$785,'Journal Entries'!$D$5:$D$785,"2100",'Journal Entries'!$J$5:$J$785,"&lt;=7")</f>
        <v>0</v>
      </c>
      <c r="F14" s="22">
        <f>SUMIFS('Journal Entries'!$I$5:$I$785,'Journal Entries'!$D$5:$D$785,"2100",'Journal Entries'!$J$5:$J$785,"&lt;=11")</f>
        <v>0</v>
      </c>
      <c r="G14" s="22">
        <f>SUMIFS('Journal Entries'!$I$5:$I$785,'Journal Entries'!$D$5:$D$785,"2100",'Journal Entries'!$J$5:$J$785,"&lt;=15")</f>
        <v>0</v>
      </c>
      <c r="H14" s="22">
        <f>SUMIFS('Journal Entries'!$I$5:$I$785,'Journal Entries'!$D$5:$D$785,"2100",'Journal Entries'!$J$5:$J$785,"&lt;=19")</f>
        <v>0</v>
      </c>
      <c r="I14" s="22">
        <f>SUMIFS('Journal Entries'!$I$5:$I$785,'Journal Entries'!$D$5:$D$785,"2100",'Journal Entries'!$J$5:$J$785,"&lt;=23")</f>
        <v>0</v>
      </c>
      <c r="J14" s="22">
        <f>SUMIFS('Journal Entries'!$I$5:$I$785,'Journal Entries'!$D$5:$D$785,"2100",'Journal Entries'!$J$5:$J$785,"&lt;=27")</f>
        <v>0</v>
      </c>
      <c r="K14" s="22">
        <f>SUMIFS('Journal Entries'!$I$5:$I$785,'Journal Entries'!$D$5:$D$785,"2100",'Journal Entries'!$J$5:$J$785,"&lt;=31")</f>
        <v>0</v>
      </c>
      <c r="L14" s="22">
        <f>SUMIFS('Journal Entries'!$I$5:$I$785,'Journal Entries'!$D$5:$D$785,"2100",'Journal Entries'!$J$5:$J$785,"&lt;=35")</f>
        <v>0</v>
      </c>
      <c r="M14" s="22">
        <f>SUMIFS('Journal Entries'!$I$5:$I$785,'Journal Entries'!$D$5:$D$785,"2100",'Journal Entries'!$J$5:$J$785,"&lt;=39")</f>
        <v>0</v>
      </c>
      <c r="N14" s="22">
        <f>SUMIFS('Journal Entries'!$I$5:$I$785,'Journal Entries'!$D$5:$D$785,"2100",'Journal Entries'!$J$5:$J$785,"&lt;=43")</f>
        <v>0</v>
      </c>
      <c r="O14" s="22">
        <f>SUMIFS('Journal Entries'!$I$5:$I$785,'Journal Entries'!$D$5:$D$785,"2100",'Journal Entries'!$J$5:$J$785,"&lt;=45")</f>
        <v>0</v>
      </c>
    </row>
    <row r="15" spans="1:15" x14ac:dyDescent="0.25">
      <c r="A15" s="8" t="s">
        <v>172</v>
      </c>
      <c r="B15" s="8" t="s">
        <v>173</v>
      </c>
      <c r="C15" s="8" t="s">
        <v>303</v>
      </c>
      <c r="D15" s="22">
        <f>SUMIFS('Journal Entries'!$I$5:$I$785,'Journal Entries'!$D$5:$D$785,"2300",'Journal Entries'!$J$5:$J$785,"&lt;=3")</f>
        <v>0</v>
      </c>
      <c r="E15" s="22">
        <f>SUMIFS('Journal Entries'!$I$5:$I$785,'Journal Entries'!$D$5:$D$785,"2300",'Journal Entries'!$J$5:$J$785,"&lt;=7")</f>
        <v>0</v>
      </c>
      <c r="F15" s="22">
        <f>SUMIFS('Journal Entries'!$I$5:$I$785,'Journal Entries'!$D$5:$D$785,"2300",'Journal Entries'!$J$5:$J$785,"&lt;=11")</f>
        <v>0</v>
      </c>
      <c r="G15" s="22">
        <f>SUMIFS('Journal Entries'!$I$5:$I$785,'Journal Entries'!$D$5:$D$785,"2300",'Journal Entries'!$J$5:$J$785,"&lt;=15")</f>
        <v>0</v>
      </c>
      <c r="H15" s="22">
        <f>SUMIFS('Journal Entries'!$I$5:$I$785,'Journal Entries'!$D$5:$D$785,"2300",'Journal Entries'!$J$5:$J$785,"&lt;=19")</f>
        <v>0</v>
      </c>
      <c r="I15" s="22">
        <f>SUMIFS('Journal Entries'!$I$5:$I$785,'Journal Entries'!$D$5:$D$785,"2300",'Journal Entries'!$J$5:$J$785,"&lt;=23")</f>
        <v>0</v>
      </c>
      <c r="J15" s="22">
        <f>SUMIFS('Journal Entries'!$I$5:$I$785,'Journal Entries'!$D$5:$D$785,"2300",'Journal Entries'!$J$5:$J$785,"&lt;=27")</f>
        <v>0</v>
      </c>
      <c r="K15" s="22">
        <f>SUMIFS('Journal Entries'!$I$5:$I$785,'Journal Entries'!$D$5:$D$785,"2300",'Journal Entries'!$J$5:$J$785,"&lt;=31")</f>
        <v>0</v>
      </c>
      <c r="L15" s="22">
        <f>SUMIFS('Journal Entries'!$I$5:$I$785,'Journal Entries'!$D$5:$D$785,"2300",'Journal Entries'!$J$5:$J$785,"&lt;=35")</f>
        <v>0</v>
      </c>
      <c r="M15" s="22">
        <f>SUMIFS('Journal Entries'!$I$5:$I$785,'Journal Entries'!$D$5:$D$785,"2300",'Journal Entries'!$J$5:$J$785,"&lt;=39")</f>
        <v>0</v>
      </c>
      <c r="N15" s="22">
        <f>SUMIFS('Journal Entries'!$I$5:$I$785,'Journal Entries'!$D$5:$D$785,"2300",'Journal Entries'!$J$5:$J$785,"&lt;=43")</f>
        <v>0</v>
      </c>
      <c r="O15" s="22">
        <f>SUMIFS('Journal Entries'!$I$5:$I$785,'Journal Entries'!$D$5:$D$785,"2300",'Journal Entries'!$J$5:$J$785,"&lt;=45")</f>
        <v>0</v>
      </c>
    </row>
    <row r="16" spans="1:15" x14ac:dyDescent="0.25">
      <c r="A16" s="8" t="s">
        <v>174</v>
      </c>
      <c r="B16" s="8" t="s">
        <v>175</v>
      </c>
      <c r="C16" s="8" t="s">
        <v>303</v>
      </c>
      <c r="D16" s="22">
        <f>SUMIFS('Journal Entries'!$I$5:$I$785,'Journal Entries'!$D$5:$D$785,"2400",'Journal Entries'!$J$5:$J$785,"&lt;=3")</f>
        <v>0</v>
      </c>
      <c r="E16" s="22">
        <f>SUMIFS('Journal Entries'!$I$5:$I$785,'Journal Entries'!$D$5:$D$785,"2400",'Journal Entries'!$J$5:$J$785,"&lt;=7")</f>
        <v>0</v>
      </c>
      <c r="F16" s="22">
        <f>SUMIFS('Journal Entries'!$I$5:$I$785,'Journal Entries'!$D$5:$D$785,"2400",'Journal Entries'!$J$5:$J$785,"&lt;=11")</f>
        <v>0</v>
      </c>
      <c r="G16" s="22">
        <f>SUMIFS('Journal Entries'!$I$5:$I$785,'Journal Entries'!$D$5:$D$785,"2400",'Journal Entries'!$J$5:$J$785,"&lt;=15")</f>
        <v>0</v>
      </c>
      <c r="H16" s="22">
        <f>SUMIFS('Journal Entries'!$I$5:$I$785,'Journal Entries'!$D$5:$D$785,"2400",'Journal Entries'!$J$5:$J$785,"&lt;=19")</f>
        <v>0</v>
      </c>
      <c r="I16" s="22">
        <f>SUMIFS('Journal Entries'!$I$5:$I$785,'Journal Entries'!$D$5:$D$785,"2400",'Journal Entries'!$J$5:$J$785,"&lt;=23")</f>
        <v>0</v>
      </c>
      <c r="J16" s="22">
        <f>SUMIFS('Journal Entries'!$I$5:$I$785,'Journal Entries'!$D$5:$D$785,"2400",'Journal Entries'!$J$5:$J$785,"&lt;=27")</f>
        <v>0</v>
      </c>
      <c r="K16" s="22">
        <f>SUMIFS('Journal Entries'!$I$5:$I$785,'Journal Entries'!$D$5:$D$785,"2400",'Journal Entries'!$J$5:$J$785,"&lt;=31")</f>
        <v>0</v>
      </c>
      <c r="L16" s="22">
        <f>SUMIFS('Journal Entries'!$I$5:$I$785,'Journal Entries'!$D$5:$D$785,"2400",'Journal Entries'!$J$5:$J$785,"&lt;=35")</f>
        <v>0</v>
      </c>
      <c r="M16" s="22">
        <f>SUMIFS('Journal Entries'!$I$5:$I$785,'Journal Entries'!$D$5:$D$785,"2400",'Journal Entries'!$J$5:$J$785,"&lt;=39")</f>
        <v>0</v>
      </c>
      <c r="N16" s="22">
        <f>SUMIFS('Journal Entries'!$I$5:$I$785,'Journal Entries'!$D$5:$D$785,"2400",'Journal Entries'!$J$5:$J$785,"&lt;=43")</f>
        <v>0</v>
      </c>
      <c r="O16" s="22">
        <f>SUMIFS('Journal Entries'!$I$5:$I$785,'Journal Entries'!$D$5:$D$785,"2400",'Journal Entries'!$J$5:$J$785,"&lt;=45")</f>
        <v>0</v>
      </c>
    </row>
    <row r="17" spans="1:15" x14ac:dyDescent="0.25">
      <c r="A17" s="8" t="s">
        <v>176</v>
      </c>
      <c r="B17" s="8" t="s">
        <v>177</v>
      </c>
      <c r="C17" s="8" t="s">
        <v>303</v>
      </c>
      <c r="D17" s="22">
        <f>SUMIFS('Journal Entries'!$I$5:$I$785,'Journal Entries'!$D$5:$D$785,"3000",'Journal Entries'!$J$5:$J$785,"&lt;=3")</f>
        <v>-47500000</v>
      </c>
      <c r="E17" s="22">
        <f>SUMIFS('Journal Entries'!$I$5:$I$785,'Journal Entries'!$D$5:$D$785,"3000",'Journal Entries'!$J$5:$J$785,"&lt;=7")</f>
        <v>-107600000</v>
      </c>
      <c r="F17" s="22">
        <f>SUMIFS('Journal Entries'!$I$5:$I$785,'Journal Entries'!$D$5:$D$785,"3000",'Journal Entries'!$J$5:$J$785,"&lt;=11")</f>
        <v>-162500000</v>
      </c>
      <c r="G17" s="22">
        <f>SUMIFS('Journal Entries'!$I$5:$I$785,'Journal Entries'!$D$5:$D$785,"3000",'Journal Entries'!$J$5:$J$785,"&lt;=15")</f>
        <v>-193300000</v>
      </c>
      <c r="H17" s="22">
        <f>SUMIFS('Journal Entries'!$I$5:$I$785,'Journal Entries'!$D$5:$D$785,"3000",'Journal Entries'!$J$5:$J$785,"&lt;=19")</f>
        <v>-206900000</v>
      </c>
      <c r="I17" s="22">
        <f>SUMIFS('Journal Entries'!$I$5:$I$785,'Journal Entries'!$D$5:$D$785,"3000",'Journal Entries'!$J$5:$J$785,"&lt;=23")</f>
        <v>-209700000</v>
      </c>
      <c r="J17" s="22">
        <f>SUMIFS('Journal Entries'!$I$5:$I$785,'Journal Entries'!$D$5:$D$785,"3000",'Journal Entries'!$J$5:$J$785,"&lt;=27")</f>
        <v>-211000000</v>
      </c>
      <c r="K17" s="22">
        <f>SUMIFS('Journal Entries'!$I$5:$I$785,'Journal Entries'!$D$5:$D$785,"3000",'Journal Entries'!$J$5:$J$785,"&lt;=31")</f>
        <v>-212200000</v>
      </c>
      <c r="L17" s="22">
        <f>SUMIFS('Journal Entries'!$I$5:$I$785,'Journal Entries'!$D$5:$D$785,"3000",'Journal Entries'!$J$5:$J$785,"&lt;=35")</f>
        <v>-213300000</v>
      </c>
      <c r="M17" s="22">
        <f>SUMIFS('Journal Entries'!$I$5:$I$785,'Journal Entries'!$D$5:$D$785,"3000",'Journal Entries'!$J$5:$J$785,"&lt;=39")</f>
        <v>-213300000</v>
      </c>
      <c r="N17" s="22">
        <f>SUMIFS('Journal Entries'!$I$5:$I$785,'Journal Entries'!$D$5:$D$785,"3000",'Journal Entries'!$J$5:$J$785,"&lt;=43")</f>
        <v>-213300000</v>
      </c>
      <c r="O17" s="22">
        <f>SUMIFS('Journal Entries'!$I$5:$I$785,'Journal Entries'!$D$5:$D$785,"3000",'Journal Entries'!$J$5:$J$785,"&lt;=45")</f>
        <v>-213300000</v>
      </c>
    </row>
    <row r="18" spans="1:15" x14ac:dyDescent="0.25">
      <c r="A18" s="8" t="s">
        <v>180</v>
      </c>
      <c r="B18" s="8" t="s">
        <v>181</v>
      </c>
      <c r="C18" s="8" t="s">
        <v>303</v>
      </c>
      <c r="D18" s="22">
        <f>SUMIFS('Journal Entries'!$I$5:$I$785,'Journal Entries'!$D$5:$D$785,"3050",'Journal Entries'!$J$5:$J$785,"&lt;=3")</f>
        <v>900000</v>
      </c>
      <c r="E18" s="22">
        <f>SUMIFS('Journal Entries'!$I$5:$I$785,'Journal Entries'!$D$5:$D$785,"3050",'Journal Entries'!$J$5:$J$785,"&lt;=7")</f>
        <v>900000</v>
      </c>
      <c r="F18" s="22">
        <f>SUMIFS('Journal Entries'!$I$5:$I$785,'Journal Entries'!$D$5:$D$785,"3050",'Journal Entries'!$J$5:$J$785,"&lt;=11")</f>
        <v>900000</v>
      </c>
      <c r="G18" s="22">
        <f>SUMIFS('Journal Entries'!$I$5:$I$785,'Journal Entries'!$D$5:$D$785,"3050",'Journal Entries'!$J$5:$J$785,"&lt;=15")</f>
        <v>900000</v>
      </c>
      <c r="H18" s="22">
        <f>SUMIFS('Journal Entries'!$I$5:$I$785,'Journal Entries'!$D$5:$D$785,"3050",'Journal Entries'!$J$5:$J$785,"&lt;=19")</f>
        <v>900000</v>
      </c>
      <c r="I18" s="22">
        <f>SUMIFS('Journal Entries'!$I$5:$I$785,'Journal Entries'!$D$5:$D$785,"3050",'Journal Entries'!$J$5:$J$785,"&lt;=23")</f>
        <v>900000</v>
      </c>
      <c r="J18" s="22">
        <f>SUMIFS('Journal Entries'!$I$5:$I$785,'Journal Entries'!$D$5:$D$785,"3050",'Journal Entries'!$J$5:$J$785,"&lt;=27")</f>
        <v>900000</v>
      </c>
      <c r="K18" s="22">
        <f>SUMIFS('Journal Entries'!$I$5:$I$785,'Journal Entries'!$D$5:$D$785,"3050",'Journal Entries'!$J$5:$J$785,"&lt;=31")</f>
        <v>900000</v>
      </c>
      <c r="L18" s="22">
        <f>SUMIFS('Journal Entries'!$I$5:$I$785,'Journal Entries'!$D$5:$D$785,"3050",'Journal Entries'!$J$5:$J$785,"&lt;=35")</f>
        <v>900000</v>
      </c>
      <c r="M18" s="22">
        <f>SUMIFS('Journal Entries'!$I$5:$I$785,'Journal Entries'!$D$5:$D$785,"3050",'Journal Entries'!$J$5:$J$785,"&lt;=39")</f>
        <v>900000</v>
      </c>
      <c r="N18" s="22">
        <f>SUMIFS('Journal Entries'!$I$5:$I$785,'Journal Entries'!$D$5:$D$785,"3050",'Journal Entries'!$J$5:$J$785,"&lt;=43")</f>
        <v>900000</v>
      </c>
      <c r="O18" s="22">
        <f>SUMIFS('Journal Entries'!$I$5:$I$785,'Journal Entries'!$D$5:$D$785,"3050",'Journal Entries'!$J$5:$J$785,"&lt;=45")</f>
        <v>900000</v>
      </c>
    </row>
    <row r="19" spans="1:15" x14ac:dyDescent="0.25">
      <c r="A19" s="8" t="s">
        <v>183</v>
      </c>
      <c r="B19" s="8" t="s">
        <v>184</v>
      </c>
      <c r="C19" s="8" t="s">
        <v>303</v>
      </c>
      <c r="D19" s="22">
        <f>SUMIFS('Journal Entries'!$I$5:$I$785,'Journal Entries'!$D$5:$D$785,"3100",'Journal Entries'!$J$5:$J$785,"&lt;=3")</f>
        <v>0</v>
      </c>
      <c r="E19" s="22">
        <f>SUMIFS('Journal Entries'!$I$5:$I$785,'Journal Entries'!$D$5:$D$785,"3100",'Journal Entries'!$J$5:$J$785,"&lt;=7")</f>
        <v>0</v>
      </c>
      <c r="F19" s="22">
        <f>SUMIFS('Journal Entries'!$I$5:$I$785,'Journal Entries'!$D$5:$D$785,"3100",'Journal Entries'!$J$5:$J$785,"&lt;=11")</f>
        <v>0</v>
      </c>
      <c r="G19" s="22">
        <f>SUMIFS('Journal Entries'!$I$5:$I$785,'Journal Entries'!$D$5:$D$785,"3100",'Journal Entries'!$J$5:$J$785,"&lt;=15")</f>
        <v>0</v>
      </c>
      <c r="H19" s="22">
        <f>SUMIFS('Journal Entries'!$I$5:$I$785,'Journal Entries'!$D$5:$D$785,"3100",'Journal Entries'!$J$5:$J$785,"&lt;=19")</f>
        <v>0</v>
      </c>
      <c r="I19" s="22">
        <f>SUMIFS('Journal Entries'!$I$5:$I$785,'Journal Entries'!$D$5:$D$785,"3100",'Journal Entries'!$J$5:$J$785,"&lt;=23")</f>
        <v>115200000</v>
      </c>
      <c r="J19" s="22">
        <f>SUMIFS('Journal Entries'!$I$5:$I$785,'Journal Entries'!$D$5:$D$785,"3100",'Journal Entries'!$J$5:$J$785,"&lt;=27")</f>
        <v>141200000</v>
      </c>
      <c r="K19" s="22">
        <f>SUMIFS('Journal Entries'!$I$5:$I$785,'Journal Entries'!$D$5:$D$785,"3100",'Journal Entries'!$J$5:$J$785,"&lt;=31")</f>
        <v>141200000</v>
      </c>
      <c r="L19" s="22">
        <f>SUMIFS('Journal Entries'!$I$5:$I$785,'Journal Entries'!$D$5:$D$785,"3100",'Journal Entries'!$J$5:$J$785,"&lt;=35")</f>
        <v>230400000</v>
      </c>
      <c r="M19" s="22">
        <f>SUMIFS('Journal Entries'!$I$5:$I$785,'Journal Entries'!$D$5:$D$785,"3100",'Journal Entries'!$J$5:$J$785,"&lt;=39")</f>
        <v>348200000</v>
      </c>
      <c r="N19" s="22">
        <f>SUMIFS('Journal Entries'!$I$5:$I$785,'Journal Entries'!$D$5:$D$785,"3100",'Journal Entries'!$J$5:$J$785,"&lt;=43")</f>
        <v>409900000</v>
      </c>
      <c r="O19" s="22">
        <f>SUMIFS('Journal Entries'!$I$5:$I$785,'Journal Entries'!$D$5:$D$785,"3100",'Journal Entries'!$J$5:$J$785,"&lt;=45")</f>
        <v>412367277.69999999</v>
      </c>
    </row>
    <row r="20" spans="1:15" x14ac:dyDescent="0.25">
      <c r="A20" s="8" t="s">
        <v>185</v>
      </c>
      <c r="B20" s="8" t="s">
        <v>186</v>
      </c>
      <c r="C20" s="8" t="s">
        <v>303</v>
      </c>
      <c r="D20" s="22">
        <f>SUMIFS('Journal Entries'!$I$5:$I$785,'Journal Entries'!$D$5:$D$785,"3900",'Journal Entries'!$J$5:$J$785,"&lt;=3")</f>
        <v>0</v>
      </c>
      <c r="E20" s="22">
        <f>SUMIFS('Journal Entries'!$I$5:$I$785,'Journal Entries'!$D$5:$D$785,"3900",'Journal Entries'!$J$5:$J$785,"&lt;=7")</f>
        <v>0</v>
      </c>
      <c r="F20" s="22">
        <f>SUMIFS('Journal Entries'!$I$5:$I$785,'Journal Entries'!$D$5:$D$785,"3900",'Journal Entries'!$J$5:$J$785,"&lt;=11")</f>
        <v>0</v>
      </c>
      <c r="G20" s="22">
        <f>SUMIFS('Journal Entries'!$I$5:$I$785,'Journal Entries'!$D$5:$D$785,"3900",'Journal Entries'!$J$5:$J$785,"&lt;=15")</f>
        <v>0</v>
      </c>
      <c r="H20" s="22">
        <f>SUMIFS('Journal Entries'!$I$5:$I$785,'Journal Entries'!$D$5:$D$785,"3900",'Journal Entries'!$J$5:$J$785,"&lt;=19")</f>
        <v>0</v>
      </c>
      <c r="I20" s="22">
        <f>SUMIFS('Journal Entries'!$I$5:$I$785,'Journal Entries'!$D$5:$D$785,"3900",'Journal Entries'!$J$5:$J$785,"&lt;=23")</f>
        <v>0</v>
      </c>
      <c r="J20" s="22">
        <f>SUMIFS('Journal Entries'!$I$5:$I$785,'Journal Entries'!$D$5:$D$785,"3900",'Journal Entries'!$J$5:$J$785,"&lt;=27")</f>
        <v>0</v>
      </c>
      <c r="K20" s="22">
        <f>SUMIFS('Journal Entries'!$I$5:$I$785,'Journal Entries'!$D$5:$D$785,"3900",'Journal Entries'!$J$5:$J$785,"&lt;=31")</f>
        <v>0</v>
      </c>
      <c r="L20" s="22">
        <f>SUMIFS('Journal Entries'!$I$5:$I$785,'Journal Entries'!$D$5:$D$785,"3900",'Journal Entries'!$J$5:$J$785,"&lt;=35")</f>
        <v>0</v>
      </c>
      <c r="M20" s="22">
        <f>SUMIFS('Journal Entries'!$I$5:$I$785,'Journal Entries'!$D$5:$D$785,"3900",'Journal Entries'!$J$5:$J$785,"&lt;=39")</f>
        <v>0</v>
      </c>
      <c r="N20" s="22">
        <f>SUMIFS('Journal Entries'!$I$5:$I$785,'Journal Entries'!$D$5:$D$785,"3900",'Journal Entries'!$J$5:$J$785,"&lt;=43")</f>
        <v>0</v>
      </c>
      <c r="O20" s="22">
        <f>SUMIFS('Journal Entries'!$I$5:$I$785,'Journal Entries'!$D$5:$D$785,"3900",'Journal Entries'!$J$5:$J$785,"&lt;=45")</f>
        <v>0</v>
      </c>
    </row>
    <row r="21" spans="1:15" x14ac:dyDescent="0.25">
      <c r="A21" s="8" t="s">
        <v>188</v>
      </c>
      <c r="B21" s="8" t="s">
        <v>189</v>
      </c>
      <c r="C21" s="8" t="s">
        <v>303</v>
      </c>
      <c r="D21" s="22">
        <f>SUMIFS('Journal Entries'!$I$5:$I$785,'Journal Entries'!$D$5:$D$785,"4000",'Journal Entries'!$J$5:$J$785,"&lt;=3")</f>
        <v>0</v>
      </c>
      <c r="E21" s="22">
        <f>SUMIFS('Journal Entries'!$I$5:$I$785,'Journal Entries'!$D$5:$D$785,"4000",'Journal Entries'!$J$5:$J$785,"&lt;=7")</f>
        <v>0</v>
      </c>
      <c r="F21" s="22">
        <f>SUMIFS('Journal Entries'!$I$5:$I$785,'Journal Entries'!$D$5:$D$785,"4000",'Journal Entries'!$J$5:$J$785,"&lt;=11")</f>
        <v>0</v>
      </c>
      <c r="G21" s="22">
        <f>SUMIFS('Journal Entries'!$I$5:$I$785,'Journal Entries'!$D$5:$D$785,"4000",'Journal Entries'!$J$5:$J$785,"&lt;=15")</f>
        <v>-1298178</v>
      </c>
      <c r="H21" s="22">
        <f>SUMIFS('Journal Entries'!$I$5:$I$785,'Journal Entries'!$D$5:$D$785,"4000",'Journal Entries'!$J$5:$J$785,"&lt;=19")</f>
        <v>-3218234.11</v>
      </c>
      <c r="I21" s="22">
        <f>SUMIFS('Journal Entries'!$I$5:$I$785,'Journal Entries'!$D$5:$D$785,"4000",'Journal Entries'!$J$5:$J$785,"&lt;=23")</f>
        <v>-5379274.1799999997</v>
      </c>
      <c r="J21" s="22">
        <f>SUMIFS('Journal Entries'!$I$5:$I$785,'Journal Entries'!$D$5:$D$785,"4000",'Journal Entries'!$J$5:$J$785,"&lt;=27")</f>
        <v>-7811543.8200000003</v>
      </c>
      <c r="K21" s="22">
        <f>SUMIFS('Journal Entries'!$I$5:$I$785,'Journal Entries'!$D$5:$D$785,"4000",'Journal Entries'!$J$5:$J$785,"&lt;=31")</f>
        <v>-10549084.710000001</v>
      </c>
      <c r="L21" s="22">
        <f>SUMIFS('Journal Entries'!$I$5:$I$785,'Journal Entries'!$D$5:$D$785,"4000",'Journal Entries'!$J$5:$J$785,"&lt;=35")</f>
        <v>-13630211.120000001</v>
      </c>
      <c r="M21" s="22">
        <f>SUMIFS('Journal Entries'!$I$5:$I$785,'Journal Entries'!$D$5:$D$785,"4000",'Journal Entries'!$J$5:$J$785,"&lt;=39")</f>
        <v>-16192277.700000001</v>
      </c>
      <c r="N21" s="22">
        <f>SUMIFS('Journal Entries'!$I$5:$I$785,'Journal Entries'!$D$5:$D$785,"4000",'Journal Entries'!$J$5:$J$785,"&lt;=43")</f>
        <v>-16192277.700000001</v>
      </c>
      <c r="O21" s="22">
        <f>SUMIFS('Journal Entries'!$I$5:$I$785,'Journal Entries'!$D$5:$D$785,"4000",'Journal Entries'!$J$5:$J$785,"&lt;=45")</f>
        <v>-16192277.700000001</v>
      </c>
    </row>
    <row r="22" spans="1:15" x14ac:dyDescent="0.25">
      <c r="A22" s="8" t="s">
        <v>191</v>
      </c>
      <c r="B22" s="8" t="s">
        <v>192</v>
      </c>
      <c r="C22" s="8" t="s">
        <v>303</v>
      </c>
      <c r="D22" s="22">
        <f>SUMIFS('Journal Entries'!$I$5:$I$785,'Journal Entries'!$D$5:$D$785,"4010",'Journal Entries'!$J$5:$J$785,"&lt;=3")</f>
        <v>0</v>
      </c>
      <c r="E22" s="22">
        <f>SUMIFS('Journal Entries'!$I$5:$I$785,'Journal Entries'!$D$5:$D$785,"4010",'Journal Entries'!$J$5:$J$785,"&lt;=7")</f>
        <v>0</v>
      </c>
      <c r="F22" s="22">
        <f>SUMIFS('Journal Entries'!$I$5:$I$785,'Journal Entries'!$D$5:$D$785,"4010",'Journal Entries'!$J$5:$J$785,"&lt;=11")</f>
        <v>0</v>
      </c>
      <c r="G22" s="22">
        <f>SUMIFS('Journal Entries'!$I$5:$I$785,'Journal Entries'!$D$5:$D$785,"4010",'Journal Entries'!$J$5:$J$785,"&lt;=15")</f>
        <v>0</v>
      </c>
      <c r="H22" s="22">
        <f>SUMIFS('Journal Entries'!$I$5:$I$785,'Journal Entries'!$D$5:$D$785,"4010",'Journal Entries'!$J$5:$J$785,"&lt;=19")</f>
        <v>0</v>
      </c>
      <c r="I22" s="22">
        <f>SUMIFS('Journal Entries'!$I$5:$I$785,'Journal Entries'!$D$5:$D$785,"4010",'Journal Entries'!$J$5:$J$785,"&lt;=23")</f>
        <v>0</v>
      </c>
      <c r="J22" s="22">
        <f>SUMIFS('Journal Entries'!$I$5:$I$785,'Journal Entries'!$D$5:$D$785,"4010",'Journal Entries'!$J$5:$J$785,"&lt;=27")</f>
        <v>0</v>
      </c>
      <c r="K22" s="22">
        <f>SUMIFS('Journal Entries'!$I$5:$I$785,'Journal Entries'!$D$5:$D$785,"4010",'Journal Entries'!$J$5:$J$785,"&lt;=31")</f>
        <v>0</v>
      </c>
      <c r="L22" s="22">
        <f>SUMIFS('Journal Entries'!$I$5:$I$785,'Journal Entries'!$D$5:$D$785,"4010",'Journal Entries'!$J$5:$J$785,"&lt;=35")</f>
        <v>0</v>
      </c>
      <c r="M22" s="22">
        <f>SUMIFS('Journal Entries'!$I$5:$I$785,'Journal Entries'!$D$5:$D$785,"4010",'Journal Entries'!$J$5:$J$785,"&lt;=39")</f>
        <v>0</v>
      </c>
      <c r="N22" s="22">
        <f>SUMIFS('Journal Entries'!$I$5:$I$785,'Journal Entries'!$D$5:$D$785,"4010",'Journal Entries'!$J$5:$J$785,"&lt;=43")</f>
        <v>0</v>
      </c>
      <c r="O22" s="22">
        <f>SUMIFS('Journal Entries'!$I$5:$I$785,'Journal Entries'!$D$5:$D$785,"4010",'Journal Entries'!$J$5:$J$785,"&lt;=45")</f>
        <v>0</v>
      </c>
    </row>
    <row r="23" spans="1:15" x14ac:dyDescent="0.25">
      <c r="A23" s="8" t="s">
        <v>193</v>
      </c>
      <c r="B23" s="8" t="s">
        <v>194</v>
      </c>
      <c r="C23" s="8" t="s">
        <v>303</v>
      </c>
      <c r="D23" s="22">
        <f>SUMIFS('Journal Entries'!$I$5:$I$785,'Journal Entries'!$D$5:$D$785,"4030",'Journal Entries'!$J$5:$J$785,"&lt;=3")</f>
        <v>0</v>
      </c>
      <c r="E23" s="22">
        <f>SUMIFS('Journal Entries'!$I$5:$I$785,'Journal Entries'!$D$5:$D$785,"4030",'Journal Entries'!$J$5:$J$785,"&lt;=7")</f>
        <v>0</v>
      </c>
      <c r="F23" s="22">
        <f>SUMIFS('Journal Entries'!$I$5:$I$785,'Journal Entries'!$D$5:$D$785,"4030",'Journal Entries'!$J$5:$J$785,"&lt;=11")</f>
        <v>0</v>
      </c>
      <c r="G23" s="22">
        <f>SUMIFS('Journal Entries'!$I$5:$I$785,'Journal Entries'!$D$5:$D$785,"4030",'Journal Entries'!$J$5:$J$785,"&lt;=15")</f>
        <v>0</v>
      </c>
      <c r="H23" s="22">
        <f>SUMIFS('Journal Entries'!$I$5:$I$785,'Journal Entries'!$D$5:$D$785,"4030",'Journal Entries'!$J$5:$J$785,"&lt;=19")</f>
        <v>0</v>
      </c>
      <c r="I23" s="22">
        <f>SUMIFS('Journal Entries'!$I$5:$I$785,'Journal Entries'!$D$5:$D$785,"4030",'Journal Entries'!$J$5:$J$785,"&lt;=23")</f>
        <v>0</v>
      </c>
      <c r="J23" s="22">
        <f>SUMIFS('Journal Entries'!$I$5:$I$785,'Journal Entries'!$D$5:$D$785,"4030",'Journal Entries'!$J$5:$J$785,"&lt;=27")</f>
        <v>0</v>
      </c>
      <c r="K23" s="22">
        <f>SUMIFS('Journal Entries'!$I$5:$I$785,'Journal Entries'!$D$5:$D$785,"4030",'Journal Entries'!$J$5:$J$785,"&lt;=31")</f>
        <v>0</v>
      </c>
      <c r="L23" s="22">
        <f>SUMIFS('Journal Entries'!$I$5:$I$785,'Journal Entries'!$D$5:$D$785,"4030",'Journal Entries'!$J$5:$J$785,"&lt;=35")</f>
        <v>0</v>
      </c>
      <c r="M23" s="22">
        <f>SUMIFS('Journal Entries'!$I$5:$I$785,'Journal Entries'!$D$5:$D$785,"4030",'Journal Entries'!$J$5:$J$785,"&lt;=39")</f>
        <v>0</v>
      </c>
      <c r="N23" s="22">
        <f>SUMIFS('Journal Entries'!$I$5:$I$785,'Journal Entries'!$D$5:$D$785,"4030",'Journal Entries'!$J$5:$J$785,"&lt;=43")</f>
        <v>0</v>
      </c>
      <c r="O23" s="22">
        <f>SUMIFS('Journal Entries'!$I$5:$I$785,'Journal Entries'!$D$5:$D$785,"4030",'Journal Entries'!$J$5:$J$785,"&lt;=45")</f>
        <v>0</v>
      </c>
    </row>
    <row r="24" spans="1:15" x14ac:dyDescent="0.25">
      <c r="A24" s="8" t="s">
        <v>196</v>
      </c>
      <c r="B24" s="8" t="s">
        <v>197</v>
      </c>
      <c r="C24" s="8" t="s">
        <v>302</v>
      </c>
      <c r="D24" s="22">
        <f>SUMIFS('Journal Entries'!$I$5:$I$785,'Journal Entries'!$D$5:$D$785,"5000",'Journal Entries'!$J$5:$J$785,"&lt;=3")</f>
        <v>2600000</v>
      </c>
      <c r="E24" s="22">
        <f>SUMIFS('Journal Entries'!$I$5:$I$785,'Journal Entries'!$D$5:$D$785,"5000",'Journal Entries'!$J$5:$J$785,"&lt;=7")</f>
        <v>7150000</v>
      </c>
      <c r="F24" s="22">
        <f>SUMIFS('Journal Entries'!$I$5:$I$785,'Journal Entries'!$D$5:$D$785,"5000",'Journal Entries'!$J$5:$J$785,"&lt;=11")</f>
        <v>12050000</v>
      </c>
      <c r="G24" s="22">
        <f>SUMIFS('Journal Entries'!$I$5:$I$785,'Journal Entries'!$D$5:$D$785,"5000",'Journal Entries'!$J$5:$J$785,"&lt;=15")</f>
        <v>16950000</v>
      </c>
      <c r="H24" s="22">
        <f>SUMIFS('Journal Entries'!$I$5:$I$785,'Journal Entries'!$D$5:$D$785,"5000",'Journal Entries'!$J$5:$J$785,"&lt;=19")</f>
        <v>21850000</v>
      </c>
      <c r="I24" s="22">
        <f>SUMIFS('Journal Entries'!$I$5:$I$785,'Journal Entries'!$D$5:$D$785,"5000",'Journal Entries'!$J$5:$J$785,"&lt;=23")</f>
        <v>26750000</v>
      </c>
      <c r="J24" s="22">
        <f>SUMIFS('Journal Entries'!$I$5:$I$785,'Journal Entries'!$D$5:$D$785,"5000",'Journal Entries'!$J$5:$J$785,"&lt;=27")</f>
        <v>30260000</v>
      </c>
      <c r="K24" s="22">
        <f>SUMIFS('Journal Entries'!$I$5:$I$785,'Journal Entries'!$D$5:$D$785,"5000",'Journal Entries'!$J$5:$J$785,"&lt;=31")</f>
        <v>32380000</v>
      </c>
      <c r="L24" s="22">
        <f>SUMIFS('Journal Entries'!$I$5:$I$785,'Journal Entries'!$D$5:$D$785,"5000",'Journal Entries'!$J$5:$J$785,"&lt;=35")</f>
        <v>33975000</v>
      </c>
      <c r="M24" s="22">
        <f>SUMIFS('Journal Entries'!$I$5:$I$785,'Journal Entries'!$D$5:$D$785,"5000",'Journal Entries'!$J$5:$J$785,"&lt;=39")</f>
        <v>34850000</v>
      </c>
      <c r="N24" s="22">
        <f>SUMIFS('Journal Entries'!$I$5:$I$785,'Journal Entries'!$D$5:$D$785,"5000",'Journal Entries'!$J$5:$J$785,"&lt;=43")</f>
        <v>34940000</v>
      </c>
      <c r="O24" s="22">
        <f>SUMIFS('Journal Entries'!$I$5:$I$785,'Journal Entries'!$D$5:$D$785,"5000",'Journal Entries'!$J$5:$J$785,"&lt;=45")</f>
        <v>34940000</v>
      </c>
    </row>
    <row r="25" spans="1:15" x14ac:dyDescent="0.25">
      <c r="A25" s="8" t="s">
        <v>199</v>
      </c>
      <c r="B25" s="8" t="s">
        <v>111</v>
      </c>
      <c r="C25" s="8" t="s">
        <v>302</v>
      </c>
      <c r="D25" s="22">
        <f>SUMIFS('Journal Entries'!$I$5:$I$785,'Journal Entries'!$D$5:$D$785,"5010",'Journal Entries'!$J$5:$J$785,"&lt;=3")</f>
        <v>0</v>
      </c>
      <c r="E25" s="22">
        <f>SUMIFS('Journal Entries'!$I$5:$I$785,'Journal Entries'!$D$5:$D$785,"5010",'Journal Entries'!$J$5:$J$785,"&lt;=7")</f>
        <v>0</v>
      </c>
      <c r="F25" s="22">
        <f>SUMIFS('Journal Entries'!$I$5:$I$785,'Journal Entries'!$D$5:$D$785,"5010",'Journal Entries'!$J$5:$J$785,"&lt;=11")</f>
        <v>-350000</v>
      </c>
      <c r="G25" s="22">
        <f>SUMIFS('Journal Entries'!$I$5:$I$785,'Journal Entries'!$D$5:$D$785,"5010",'Journal Entries'!$J$5:$J$785,"&lt;=15")</f>
        <v>-750000</v>
      </c>
      <c r="H25" s="22">
        <f>SUMIFS('Journal Entries'!$I$5:$I$785,'Journal Entries'!$D$5:$D$785,"5010",'Journal Entries'!$J$5:$J$785,"&lt;=19")</f>
        <v>-1150000</v>
      </c>
      <c r="I25" s="22">
        <f>SUMIFS('Journal Entries'!$I$5:$I$785,'Journal Entries'!$D$5:$D$785,"5010",'Journal Entries'!$J$5:$J$785,"&lt;=23")</f>
        <v>-1400000</v>
      </c>
      <c r="J25" s="22">
        <f>SUMIFS('Journal Entries'!$I$5:$I$785,'Journal Entries'!$D$5:$D$785,"5010",'Journal Entries'!$J$5:$J$785,"&lt;=27")</f>
        <v>-1400000</v>
      </c>
      <c r="K25" s="22">
        <f>SUMIFS('Journal Entries'!$I$5:$I$785,'Journal Entries'!$D$5:$D$785,"5010",'Journal Entries'!$J$5:$J$785,"&lt;=31")</f>
        <v>-1400000</v>
      </c>
      <c r="L25" s="22">
        <f>SUMIFS('Journal Entries'!$I$5:$I$785,'Journal Entries'!$D$5:$D$785,"5010",'Journal Entries'!$J$5:$J$785,"&lt;=35")</f>
        <v>-1400000</v>
      </c>
      <c r="M25" s="22">
        <f>SUMIFS('Journal Entries'!$I$5:$I$785,'Journal Entries'!$D$5:$D$785,"5010",'Journal Entries'!$J$5:$J$785,"&lt;=39")</f>
        <v>-1400000</v>
      </c>
      <c r="N25" s="22">
        <f>SUMIFS('Journal Entries'!$I$5:$I$785,'Journal Entries'!$D$5:$D$785,"5010",'Journal Entries'!$J$5:$J$785,"&lt;=43")</f>
        <v>-1400000</v>
      </c>
      <c r="O25" s="22">
        <f>SUMIFS('Journal Entries'!$I$5:$I$785,'Journal Entries'!$D$5:$D$785,"5010",'Journal Entries'!$J$5:$J$785,"&lt;=45")</f>
        <v>-1400000</v>
      </c>
    </row>
    <row r="26" spans="1:15" x14ac:dyDescent="0.25">
      <c r="A26" s="8" t="s">
        <v>201</v>
      </c>
      <c r="B26" s="8" t="s">
        <v>121</v>
      </c>
      <c r="C26" s="8" t="s">
        <v>302</v>
      </c>
      <c r="D26" s="22">
        <f>SUMIFS('Journal Entries'!$I$5:$I$785,'Journal Entries'!$D$5:$D$785,"5100",'Journal Entries'!$J$5:$J$785,"&lt;=3")</f>
        <v>1200000</v>
      </c>
      <c r="E26" s="22">
        <f>SUMIFS('Journal Entries'!$I$5:$I$785,'Journal Entries'!$D$5:$D$785,"5100",'Journal Entries'!$J$5:$J$785,"&lt;=7")</f>
        <v>1200000</v>
      </c>
      <c r="F26" s="22">
        <f>SUMIFS('Journal Entries'!$I$5:$I$785,'Journal Entries'!$D$5:$D$785,"5100",'Journal Entries'!$J$5:$J$785,"&lt;=11")</f>
        <v>1200000</v>
      </c>
      <c r="G26" s="22">
        <f>SUMIFS('Journal Entries'!$I$5:$I$785,'Journal Entries'!$D$5:$D$785,"5100",'Journal Entries'!$J$5:$J$785,"&lt;=15")</f>
        <v>1200000</v>
      </c>
      <c r="H26" s="22">
        <f>SUMIFS('Journal Entries'!$I$5:$I$785,'Journal Entries'!$D$5:$D$785,"5100",'Journal Entries'!$J$5:$J$785,"&lt;=19")</f>
        <v>1200000</v>
      </c>
      <c r="I26" s="22">
        <f>SUMIFS('Journal Entries'!$I$5:$I$785,'Journal Entries'!$D$5:$D$785,"5100",'Journal Entries'!$J$5:$J$785,"&lt;=23")</f>
        <v>1200000</v>
      </c>
      <c r="J26" s="22">
        <f>SUMIFS('Journal Entries'!$I$5:$I$785,'Journal Entries'!$D$5:$D$785,"5100",'Journal Entries'!$J$5:$J$785,"&lt;=27")</f>
        <v>1200000</v>
      </c>
      <c r="K26" s="22">
        <f>SUMIFS('Journal Entries'!$I$5:$I$785,'Journal Entries'!$D$5:$D$785,"5100",'Journal Entries'!$J$5:$J$785,"&lt;=31")</f>
        <v>1200000</v>
      </c>
      <c r="L26" s="22">
        <f>SUMIFS('Journal Entries'!$I$5:$I$785,'Journal Entries'!$D$5:$D$785,"5100",'Journal Entries'!$J$5:$J$785,"&lt;=35")</f>
        <v>1200000</v>
      </c>
      <c r="M26" s="22">
        <f>SUMIFS('Journal Entries'!$I$5:$I$785,'Journal Entries'!$D$5:$D$785,"5100",'Journal Entries'!$J$5:$J$785,"&lt;=39")</f>
        <v>1200000</v>
      </c>
      <c r="N26" s="22">
        <f>SUMIFS('Journal Entries'!$I$5:$I$785,'Journal Entries'!$D$5:$D$785,"5100",'Journal Entries'!$J$5:$J$785,"&lt;=43")</f>
        <v>1200000</v>
      </c>
      <c r="O26" s="22">
        <f>SUMIFS('Journal Entries'!$I$5:$I$785,'Journal Entries'!$D$5:$D$785,"5100",'Journal Entries'!$J$5:$J$785,"&lt;=45")</f>
        <v>1200000</v>
      </c>
    </row>
    <row r="27" spans="1:15" x14ac:dyDescent="0.25">
      <c r="A27" s="8" t="s">
        <v>202</v>
      </c>
      <c r="B27" s="8" t="s">
        <v>203</v>
      </c>
      <c r="C27" s="8" t="s">
        <v>302</v>
      </c>
      <c r="D27" s="22">
        <f>SUMIFS('Journal Entries'!$I$5:$I$785,'Journal Entries'!$D$5:$D$785,"5110",'Journal Entries'!$J$5:$J$785,"&lt;=3")</f>
        <v>0</v>
      </c>
      <c r="E27" s="22">
        <f>SUMIFS('Journal Entries'!$I$5:$I$785,'Journal Entries'!$D$5:$D$785,"5110",'Journal Entries'!$J$5:$J$785,"&lt;=7")</f>
        <v>0</v>
      </c>
      <c r="F27" s="22">
        <f>SUMIFS('Journal Entries'!$I$5:$I$785,'Journal Entries'!$D$5:$D$785,"5110",'Journal Entries'!$J$5:$J$785,"&lt;=11")</f>
        <v>0</v>
      </c>
      <c r="G27" s="22">
        <f>SUMIFS('Journal Entries'!$I$5:$I$785,'Journal Entries'!$D$5:$D$785,"5110",'Journal Entries'!$J$5:$J$785,"&lt;=15")</f>
        <v>0</v>
      </c>
      <c r="H27" s="22">
        <f>SUMIFS('Journal Entries'!$I$5:$I$785,'Journal Entries'!$D$5:$D$785,"5110",'Journal Entries'!$J$5:$J$785,"&lt;=19")</f>
        <v>0</v>
      </c>
      <c r="I27" s="22">
        <f>SUMIFS('Journal Entries'!$I$5:$I$785,'Journal Entries'!$D$5:$D$785,"5110",'Journal Entries'!$J$5:$J$785,"&lt;=23")</f>
        <v>0</v>
      </c>
      <c r="J27" s="22">
        <f>SUMIFS('Journal Entries'!$I$5:$I$785,'Journal Entries'!$D$5:$D$785,"5110",'Journal Entries'!$J$5:$J$785,"&lt;=27")</f>
        <v>0</v>
      </c>
      <c r="K27" s="22">
        <f>SUMIFS('Journal Entries'!$I$5:$I$785,'Journal Entries'!$D$5:$D$785,"5110",'Journal Entries'!$J$5:$J$785,"&lt;=31")</f>
        <v>0</v>
      </c>
      <c r="L27" s="22">
        <f>SUMIFS('Journal Entries'!$I$5:$I$785,'Journal Entries'!$D$5:$D$785,"5110",'Journal Entries'!$J$5:$J$785,"&lt;=35")</f>
        <v>0</v>
      </c>
      <c r="M27" s="22">
        <f>SUMIFS('Journal Entries'!$I$5:$I$785,'Journal Entries'!$D$5:$D$785,"5110",'Journal Entries'!$J$5:$J$785,"&lt;=39")</f>
        <v>0</v>
      </c>
      <c r="N27" s="22">
        <f>SUMIFS('Journal Entries'!$I$5:$I$785,'Journal Entries'!$D$5:$D$785,"5110",'Journal Entries'!$J$5:$J$785,"&lt;=43")</f>
        <v>0</v>
      </c>
      <c r="O27" s="22">
        <f>SUMIFS('Journal Entries'!$I$5:$I$785,'Journal Entries'!$D$5:$D$785,"5110",'Journal Entries'!$J$5:$J$785,"&lt;=45")</f>
        <v>0</v>
      </c>
    </row>
    <row r="28" spans="1:15" x14ac:dyDescent="0.25">
      <c r="A28" s="8" t="s">
        <v>205</v>
      </c>
      <c r="B28" s="8" t="s">
        <v>206</v>
      </c>
      <c r="C28" s="8" t="s">
        <v>302</v>
      </c>
      <c r="D28" s="22">
        <f>SUMIFS('Journal Entries'!$I$5:$I$785,'Journal Entries'!$D$5:$D$785,"5200",'Journal Entries'!$J$5:$J$785,"&lt;=3")</f>
        <v>120000</v>
      </c>
      <c r="E28" s="22">
        <f>SUMIFS('Journal Entries'!$I$5:$I$785,'Journal Entries'!$D$5:$D$785,"5200",'Journal Entries'!$J$5:$J$785,"&lt;=7")</f>
        <v>300000</v>
      </c>
      <c r="F28" s="22">
        <f>SUMIFS('Journal Entries'!$I$5:$I$785,'Journal Entries'!$D$5:$D$785,"5200",'Journal Entries'!$J$5:$J$785,"&lt;=11")</f>
        <v>480000</v>
      </c>
      <c r="G28" s="22">
        <f>SUMIFS('Journal Entries'!$I$5:$I$785,'Journal Entries'!$D$5:$D$785,"5200",'Journal Entries'!$J$5:$J$785,"&lt;=15")</f>
        <v>660000</v>
      </c>
      <c r="H28" s="22">
        <f>SUMIFS('Journal Entries'!$I$5:$I$785,'Journal Entries'!$D$5:$D$785,"5200",'Journal Entries'!$J$5:$J$785,"&lt;=19")</f>
        <v>840000</v>
      </c>
      <c r="I28" s="22">
        <f>SUMIFS('Journal Entries'!$I$5:$I$785,'Journal Entries'!$D$5:$D$785,"5200",'Journal Entries'!$J$5:$J$785,"&lt;=23")</f>
        <v>1020000</v>
      </c>
      <c r="J28" s="22">
        <f>SUMIFS('Journal Entries'!$I$5:$I$785,'Journal Entries'!$D$5:$D$785,"5200",'Journal Entries'!$J$5:$J$785,"&lt;=27")</f>
        <v>1212000</v>
      </c>
      <c r="K28" s="22">
        <f>SUMIFS('Journal Entries'!$I$5:$I$785,'Journal Entries'!$D$5:$D$785,"5200",'Journal Entries'!$J$5:$J$785,"&lt;=31")</f>
        <v>1404000</v>
      </c>
      <c r="L28" s="22">
        <f>SUMIFS('Journal Entries'!$I$5:$I$785,'Journal Entries'!$D$5:$D$785,"5200",'Journal Entries'!$J$5:$J$785,"&lt;=35")</f>
        <v>1596000</v>
      </c>
      <c r="M28" s="22">
        <f>SUMIFS('Journal Entries'!$I$5:$I$785,'Journal Entries'!$D$5:$D$785,"5200",'Journal Entries'!$J$5:$J$785,"&lt;=39")</f>
        <v>1788000</v>
      </c>
      <c r="N28" s="22">
        <f>SUMIFS('Journal Entries'!$I$5:$I$785,'Journal Entries'!$D$5:$D$785,"5200",'Journal Entries'!$J$5:$J$785,"&lt;=43")</f>
        <v>1980000</v>
      </c>
      <c r="O28" s="22">
        <f>SUMIFS('Journal Entries'!$I$5:$I$785,'Journal Entries'!$D$5:$D$785,"5200",'Journal Entries'!$J$5:$J$785,"&lt;=45")</f>
        <v>2076000</v>
      </c>
    </row>
    <row r="29" spans="1:15" x14ac:dyDescent="0.25">
      <c r="A29" s="8" t="s">
        <v>207</v>
      </c>
      <c r="B29" s="8" t="s">
        <v>208</v>
      </c>
      <c r="C29" s="8" t="s">
        <v>302</v>
      </c>
      <c r="D29" s="22">
        <f>SUMIFS('Journal Entries'!$I$5:$I$785,'Journal Entries'!$D$5:$D$785,"5210",'Journal Entries'!$J$5:$J$785,"&lt;=3")</f>
        <v>140000</v>
      </c>
      <c r="E29" s="22">
        <f>SUMIFS('Journal Entries'!$I$5:$I$785,'Journal Entries'!$D$5:$D$785,"5210",'Journal Entries'!$J$5:$J$785,"&lt;=7")</f>
        <v>212000</v>
      </c>
      <c r="F29" s="22">
        <f>SUMIFS('Journal Entries'!$I$5:$I$785,'Journal Entries'!$D$5:$D$785,"5210",'Journal Entries'!$J$5:$J$785,"&lt;=11")</f>
        <v>284000</v>
      </c>
      <c r="G29" s="22">
        <f>SUMIFS('Journal Entries'!$I$5:$I$785,'Journal Entries'!$D$5:$D$785,"5210",'Journal Entries'!$J$5:$J$785,"&lt;=15")</f>
        <v>356000</v>
      </c>
      <c r="H29" s="22">
        <f>SUMIFS('Journal Entries'!$I$5:$I$785,'Journal Entries'!$D$5:$D$785,"5210",'Journal Entries'!$J$5:$J$785,"&lt;=19")</f>
        <v>428000</v>
      </c>
      <c r="I29" s="22">
        <f>SUMIFS('Journal Entries'!$I$5:$I$785,'Journal Entries'!$D$5:$D$785,"5210",'Journal Entries'!$J$5:$J$785,"&lt;=23")</f>
        <v>500000</v>
      </c>
      <c r="J29" s="22">
        <f>SUMIFS('Journal Entries'!$I$5:$I$785,'Journal Entries'!$D$5:$D$785,"5210",'Journal Entries'!$J$5:$J$785,"&lt;=27")</f>
        <v>560000</v>
      </c>
      <c r="K29" s="22">
        <f>SUMIFS('Journal Entries'!$I$5:$I$785,'Journal Entries'!$D$5:$D$785,"5210",'Journal Entries'!$J$5:$J$785,"&lt;=31")</f>
        <v>620000</v>
      </c>
      <c r="L29" s="22">
        <f>SUMIFS('Journal Entries'!$I$5:$I$785,'Journal Entries'!$D$5:$D$785,"5210",'Journal Entries'!$J$5:$J$785,"&lt;=35")</f>
        <v>680000</v>
      </c>
      <c r="M29" s="22">
        <f>SUMIFS('Journal Entries'!$I$5:$I$785,'Journal Entries'!$D$5:$D$785,"5210",'Journal Entries'!$J$5:$J$785,"&lt;=39")</f>
        <v>740000</v>
      </c>
      <c r="N29" s="22">
        <f>SUMIFS('Journal Entries'!$I$5:$I$785,'Journal Entries'!$D$5:$D$785,"5210",'Journal Entries'!$J$5:$J$785,"&lt;=43")</f>
        <v>800000</v>
      </c>
      <c r="O29" s="22">
        <f>SUMIFS('Journal Entries'!$I$5:$I$785,'Journal Entries'!$D$5:$D$785,"5210",'Journal Entries'!$J$5:$J$785,"&lt;=45")</f>
        <v>830000</v>
      </c>
    </row>
    <row r="30" spans="1:15" x14ac:dyDescent="0.25">
      <c r="A30" s="8" t="s">
        <v>209</v>
      </c>
      <c r="B30" s="8" t="s">
        <v>210</v>
      </c>
      <c r="C30" s="8" t="s">
        <v>302</v>
      </c>
      <c r="D30" s="22">
        <f>SUMIFS('Journal Entries'!$I$5:$I$785,'Journal Entries'!$D$5:$D$785,"5300",'Journal Entries'!$J$5:$J$785,"&lt;=3")</f>
        <v>180000</v>
      </c>
      <c r="E30" s="22">
        <f>SUMIFS('Journal Entries'!$I$5:$I$785,'Journal Entries'!$D$5:$D$785,"5300",'Journal Entries'!$J$5:$J$785,"&lt;=7")</f>
        <v>430000</v>
      </c>
      <c r="F30" s="22">
        <f>SUMIFS('Journal Entries'!$I$5:$I$785,'Journal Entries'!$D$5:$D$785,"5300",'Journal Entries'!$J$5:$J$785,"&lt;=11")</f>
        <v>680000</v>
      </c>
      <c r="G30" s="22">
        <f>SUMIFS('Journal Entries'!$I$5:$I$785,'Journal Entries'!$D$5:$D$785,"5300",'Journal Entries'!$J$5:$J$785,"&lt;=15")</f>
        <v>930000</v>
      </c>
      <c r="H30" s="22">
        <f>SUMIFS('Journal Entries'!$I$5:$I$785,'Journal Entries'!$D$5:$D$785,"5300",'Journal Entries'!$J$5:$J$785,"&lt;=19")</f>
        <v>1180000</v>
      </c>
      <c r="I30" s="22">
        <f>SUMIFS('Journal Entries'!$I$5:$I$785,'Journal Entries'!$D$5:$D$785,"5300",'Journal Entries'!$J$5:$J$785,"&lt;=23")</f>
        <v>1430000</v>
      </c>
      <c r="J30" s="22">
        <f>SUMIFS('Journal Entries'!$I$5:$I$785,'Journal Entries'!$D$5:$D$785,"5300",'Journal Entries'!$J$5:$J$785,"&lt;=27")</f>
        <v>1650000</v>
      </c>
      <c r="K30" s="22">
        <f>SUMIFS('Journal Entries'!$I$5:$I$785,'Journal Entries'!$D$5:$D$785,"5300",'Journal Entries'!$J$5:$J$785,"&lt;=31")</f>
        <v>1870000</v>
      </c>
      <c r="L30" s="22">
        <f>SUMIFS('Journal Entries'!$I$5:$I$785,'Journal Entries'!$D$5:$D$785,"5300",'Journal Entries'!$J$5:$J$785,"&lt;=35")</f>
        <v>2090000</v>
      </c>
      <c r="M30" s="22">
        <f>SUMIFS('Journal Entries'!$I$5:$I$785,'Journal Entries'!$D$5:$D$785,"5300",'Journal Entries'!$J$5:$J$785,"&lt;=39")</f>
        <v>2310000</v>
      </c>
      <c r="N30" s="22">
        <f>SUMIFS('Journal Entries'!$I$5:$I$785,'Journal Entries'!$D$5:$D$785,"5300",'Journal Entries'!$J$5:$J$785,"&lt;=43")</f>
        <v>2530000</v>
      </c>
      <c r="O30" s="22">
        <f>SUMIFS('Journal Entries'!$I$5:$I$785,'Journal Entries'!$D$5:$D$785,"5300",'Journal Entries'!$J$5:$J$785,"&lt;=45")</f>
        <v>2640000</v>
      </c>
    </row>
    <row r="31" spans="1:15" x14ac:dyDescent="0.25">
      <c r="A31" s="8" t="s">
        <v>211</v>
      </c>
      <c r="B31" s="8" t="s">
        <v>212</v>
      </c>
      <c r="C31" s="8" t="s">
        <v>302</v>
      </c>
      <c r="D31" s="22">
        <f>SUMIFS('Journal Entries'!$I$5:$I$785,'Journal Entries'!$D$5:$D$785,"5400",'Journal Entries'!$J$5:$J$785,"&lt;=3")</f>
        <v>20000</v>
      </c>
      <c r="E31" s="22">
        <f>SUMIFS('Journal Entries'!$I$5:$I$785,'Journal Entries'!$D$5:$D$785,"5400",'Journal Entries'!$J$5:$J$785,"&lt;=7")</f>
        <v>50000</v>
      </c>
      <c r="F31" s="22">
        <f>SUMIFS('Journal Entries'!$I$5:$I$785,'Journal Entries'!$D$5:$D$785,"5400",'Journal Entries'!$J$5:$J$785,"&lt;=11")</f>
        <v>80000</v>
      </c>
      <c r="G31" s="22">
        <f>SUMIFS('Journal Entries'!$I$5:$I$785,'Journal Entries'!$D$5:$D$785,"5400",'Journal Entries'!$J$5:$J$785,"&lt;=15")</f>
        <v>110000</v>
      </c>
      <c r="H31" s="22">
        <f>SUMIFS('Journal Entries'!$I$5:$I$785,'Journal Entries'!$D$5:$D$785,"5400",'Journal Entries'!$J$5:$J$785,"&lt;=19")</f>
        <v>140000</v>
      </c>
      <c r="I31" s="22">
        <f>SUMIFS('Journal Entries'!$I$5:$I$785,'Journal Entries'!$D$5:$D$785,"5400",'Journal Entries'!$J$5:$J$785,"&lt;=23")</f>
        <v>170000</v>
      </c>
      <c r="J31" s="22">
        <f>SUMIFS('Journal Entries'!$I$5:$I$785,'Journal Entries'!$D$5:$D$785,"5400",'Journal Entries'!$J$5:$J$785,"&lt;=27")</f>
        <v>200000</v>
      </c>
      <c r="K31" s="22">
        <f>SUMIFS('Journal Entries'!$I$5:$I$785,'Journal Entries'!$D$5:$D$785,"5400",'Journal Entries'!$J$5:$J$785,"&lt;=31")</f>
        <v>230000</v>
      </c>
      <c r="L31" s="22">
        <f>SUMIFS('Journal Entries'!$I$5:$I$785,'Journal Entries'!$D$5:$D$785,"5400",'Journal Entries'!$J$5:$J$785,"&lt;=35")</f>
        <v>260000</v>
      </c>
      <c r="M31" s="22">
        <f>SUMIFS('Journal Entries'!$I$5:$I$785,'Journal Entries'!$D$5:$D$785,"5400",'Journal Entries'!$J$5:$J$785,"&lt;=39")</f>
        <v>290000</v>
      </c>
      <c r="N31" s="22">
        <f>SUMIFS('Journal Entries'!$I$5:$I$785,'Journal Entries'!$D$5:$D$785,"5400",'Journal Entries'!$J$5:$J$785,"&lt;=43")</f>
        <v>320000</v>
      </c>
      <c r="O31" s="22">
        <f>SUMIFS('Journal Entries'!$I$5:$I$785,'Journal Entries'!$D$5:$D$785,"5400",'Journal Entries'!$J$5:$J$785,"&lt;=45")</f>
        <v>335000</v>
      </c>
    </row>
    <row r="32" spans="1:15" x14ac:dyDescent="0.25">
      <c r="A32" s="8" t="s">
        <v>213</v>
      </c>
      <c r="B32" s="8" t="s">
        <v>214</v>
      </c>
      <c r="C32" s="8" t="s">
        <v>302</v>
      </c>
      <c r="D32" s="22">
        <f>SUMIFS('Journal Entries'!$I$5:$I$785,'Journal Entries'!$D$5:$D$785,"5500",'Journal Entries'!$J$5:$J$785,"&lt;=3")</f>
        <v>0</v>
      </c>
      <c r="E32" s="22">
        <f>SUMIFS('Journal Entries'!$I$5:$I$785,'Journal Entries'!$D$5:$D$785,"5500",'Journal Entries'!$J$5:$J$785,"&lt;=7")</f>
        <v>0</v>
      </c>
      <c r="F32" s="22">
        <f>SUMIFS('Journal Entries'!$I$5:$I$785,'Journal Entries'!$D$5:$D$785,"5500",'Journal Entries'!$J$5:$J$785,"&lt;=11")</f>
        <v>0</v>
      </c>
      <c r="G32" s="22">
        <f>SUMIFS('Journal Entries'!$I$5:$I$785,'Journal Entries'!$D$5:$D$785,"5500",'Journal Entries'!$J$5:$J$785,"&lt;=15")</f>
        <v>0</v>
      </c>
      <c r="H32" s="22">
        <f>SUMIFS('Journal Entries'!$I$5:$I$785,'Journal Entries'!$D$5:$D$785,"5500",'Journal Entries'!$J$5:$J$785,"&lt;=19")</f>
        <v>0</v>
      </c>
      <c r="I32" s="22">
        <f>SUMIFS('Journal Entries'!$I$5:$I$785,'Journal Entries'!$D$5:$D$785,"5500",'Journal Entries'!$J$5:$J$785,"&lt;=23")</f>
        <v>0</v>
      </c>
      <c r="J32" s="22">
        <f>SUMIFS('Journal Entries'!$I$5:$I$785,'Journal Entries'!$D$5:$D$785,"5500",'Journal Entries'!$J$5:$J$785,"&lt;=27")</f>
        <v>0</v>
      </c>
      <c r="K32" s="22">
        <f>SUMIFS('Journal Entries'!$I$5:$I$785,'Journal Entries'!$D$5:$D$785,"5500",'Journal Entries'!$J$5:$J$785,"&lt;=31")</f>
        <v>0</v>
      </c>
      <c r="L32" s="22">
        <f>SUMIFS('Journal Entries'!$I$5:$I$785,'Journal Entries'!$D$5:$D$785,"5500",'Journal Entries'!$J$5:$J$785,"&lt;=35")</f>
        <v>0</v>
      </c>
      <c r="M32" s="22">
        <f>SUMIFS('Journal Entries'!$I$5:$I$785,'Journal Entries'!$D$5:$D$785,"5500",'Journal Entries'!$J$5:$J$785,"&lt;=39")</f>
        <v>0</v>
      </c>
      <c r="N32" s="22">
        <f>SUMIFS('Journal Entries'!$I$5:$I$785,'Journal Entries'!$D$5:$D$785,"5500",'Journal Entries'!$J$5:$J$785,"&lt;=43")</f>
        <v>0</v>
      </c>
      <c r="O32" s="22">
        <f>SUMIFS('Journal Entries'!$I$5:$I$785,'Journal Entries'!$D$5:$D$785,"5500",'Journal Entries'!$J$5:$J$785,"&lt;=45")</f>
        <v>0</v>
      </c>
    </row>
    <row r="33" spans="1:15" x14ac:dyDescent="0.25">
      <c r="A33" s="8" t="s">
        <v>215</v>
      </c>
      <c r="B33" s="8" t="s">
        <v>216</v>
      </c>
      <c r="C33" s="8" t="s">
        <v>302</v>
      </c>
      <c r="D33" s="22">
        <f>SUMIFS('Journal Entries'!$I$5:$I$785,'Journal Entries'!$D$5:$D$785,"5600",'Journal Entries'!$J$5:$J$785,"&lt;=3")</f>
        <v>48000</v>
      </c>
      <c r="E33" s="22">
        <f>SUMIFS('Journal Entries'!$I$5:$I$785,'Journal Entries'!$D$5:$D$785,"5600",'Journal Entries'!$J$5:$J$785,"&lt;=7")</f>
        <v>84000</v>
      </c>
      <c r="F33" s="22">
        <f>SUMIFS('Journal Entries'!$I$5:$I$785,'Journal Entries'!$D$5:$D$785,"5600",'Journal Entries'!$J$5:$J$785,"&lt;=11")</f>
        <v>120000</v>
      </c>
      <c r="G33" s="22">
        <f>SUMIFS('Journal Entries'!$I$5:$I$785,'Journal Entries'!$D$5:$D$785,"5600",'Journal Entries'!$J$5:$J$785,"&lt;=15")</f>
        <v>156000</v>
      </c>
      <c r="H33" s="22">
        <f>SUMIFS('Journal Entries'!$I$5:$I$785,'Journal Entries'!$D$5:$D$785,"5600",'Journal Entries'!$J$5:$J$785,"&lt;=19")</f>
        <v>192000</v>
      </c>
      <c r="I33" s="22">
        <f>SUMIFS('Journal Entries'!$I$5:$I$785,'Journal Entries'!$D$5:$D$785,"5600",'Journal Entries'!$J$5:$J$785,"&lt;=23")</f>
        <v>228000</v>
      </c>
      <c r="J33" s="22">
        <f>SUMIFS('Journal Entries'!$I$5:$I$785,'Journal Entries'!$D$5:$D$785,"5600",'Journal Entries'!$J$5:$J$785,"&lt;=27")</f>
        <v>260000</v>
      </c>
      <c r="K33" s="22">
        <f>SUMIFS('Journal Entries'!$I$5:$I$785,'Journal Entries'!$D$5:$D$785,"5600",'Journal Entries'!$J$5:$J$785,"&lt;=31")</f>
        <v>292000</v>
      </c>
      <c r="L33" s="22">
        <f>SUMIFS('Journal Entries'!$I$5:$I$785,'Journal Entries'!$D$5:$D$785,"5600",'Journal Entries'!$J$5:$J$785,"&lt;=35")</f>
        <v>324000</v>
      </c>
      <c r="M33" s="22">
        <f>SUMIFS('Journal Entries'!$I$5:$I$785,'Journal Entries'!$D$5:$D$785,"5600",'Journal Entries'!$J$5:$J$785,"&lt;=39")</f>
        <v>356000</v>
      </c>
      <c r="N33" s="22">
        <f>SUMIFS('Journal Entries'!$I$5:$I$785,'Journal Entries'!$D$5:$D$785,"5600",'Journal Entries'!$J$5:$J$785,"&lt;=43")</f>
        <v>388000</v>
      </c>
      <c r="O33" s="22">
        <f>SUMIFS('Journal Entries'!$I$5:$I$785,'Journal Entries'!$D$5:$D$785,"5600",'Journal Entries'!$J$5:$J$785,"&lt;=45")</f>
        <v>404000</v>
      </c>
    </row>
    <row r="34" spans="1:15" x14ac:dyDescent="0.25">
      <c r="A34" s="8" t="s">
        <v>217</v>
      </c>
      <c r="B34" s="8" t="s">
        <v>218</v>
      </c>
      <c r="C34" s="8" t="s">
        <v>303</v>
      </c>
      <c r="D34" s="22">
        <f>SUMIFS('Journal Entries'!$I$5:$I$785,'Journal Entries'!$D$5:$D$785,"6000",'Journal Entries'!$J$5:$J$785,"&lt;=3")</f>
        <v>0</v>
      </c>
      <c r="E34" s="22">
        <f>SUMIFS('Journal Entries'!$I$5:$I$785,'Journal Entries'!$D$5:$D$785,"6000",'Journal Entries'!$J$5:$J$785,"&lt;=7")</f>
        <v>0</v>
      </c>
      <c r="F34" s="22">
        <f>SUMIFS('Journal Entries'!$I$5:$I$785,'Journal Entries'!$D$5:$D$785,"6000",'Journal Entries'!$J$5:$J$785,"&lt;=11")</f>
        <v>0</v>
      </c>
      <c r="G34" s="22">
        <f>SUMIFS('Journal Entries'!$I$5:$I$785,'Journal Entries'!$D$5:$D$785,"6000",'Journal Entries'!$J$5:$J$785,"&lt;=15")</f>
        <v>0</v>
      </c>
      <c r="H34" s="22">
        <f>SUMIFS('Journal Entries'!$I$5:$I$785,'Journal Entries'!$D$5:$D$785,"6000",'Journal Entries'!$J$5:$J$785,"&lt;=19")</f>
        <v>0</v>
      </c>
      <c r="I34" s="22">
        <f>SUMIFS('Journal Entries'!$I$5:$I$785,'Journal Entries'!$D$5:$D$785,"6000",'Journal Entries'!$J$5:$J$785,"&lt;=23")</f>
        <v>-68000000</v>
      </c>
      <c r="J34" s="22">
        <f>SUMIFS('Journal Entries'!$I$5:$I$785,'Journal Entries'!$D$5:$D$785,"6000",'Journal Entries'!$J$5:$J$785,"&lt;=27")</f>
        <v>-72800000</v>
      </c>
      <c r="K34" s="22">
        <f>SUMIFS('Journal Entries'!$I$5:$I$785,'Journal Entries'!$D$5:$D$785,"6000",'Journal Entries'!$J$5:$J$785,"&lt;=31")</f>
        <v>-72800000</v>
      </c>
      <c r="L34" s="22">
        <f>SUMIFS('Journal Entries'!$I$5:$I$785,'Journal Entries'!$D$5:$D$785,"6000",'Journal Entries'!$J$5:$J$785,"&lt;=35")</f>
        <v>-129800000</v>
      </c>
      <c r="M34" s="22">
        <f>SUMIFS('Journal Entries'!$I$5:$I$785,'Journal Entries'!$D$5:$D$785,"6000",'Journal Entries'!$J$5:$J$785,"&lt;=39")</f>
        <v>-180800000</v>
      </c>
      <c r="N34" s="22">
        <f>SUMIFS('Journal Entries'!$I$5:$I$785,'Journal Entries'!$D$5:$D$785,"6000",'Journal Entries'!$J$5:$J$785,"&lt;=43")</f>
        <v>-224800000</v>
      </c>
      <c r="O34" s="22">
        <f>SUMIFS('Journal Entries'!$I$5:$I$785,'Journal Entries'!$D$5:$D$785,"6000",'Journal Entries'!$J$5:$J$785,"&lt;=45")</f>
        <v>-224800000</v>
      </c>
    </row>
    <row r="35" spans="1:15" x14ac:dyDescent="0.25">
      <c r="A35" s="8" t="s">
        <v>219</v>
      </c>
      <c r="B35" s="8" t="s">
        <v>220</v>
      </c>
      <c r="C35" s="8" t="s">
        <v>303</v>
      </c>
      <c r="D35" s="22">
        <f>SUMIFS('Journal Entries'!$I$5:$I$785,'Journal Entries'!$D$5:$D$785,"6100",'Journal Entries'!$J$5:$J$785,"&lt;=3")</f>
        <v>-1500000</v>
      </c>
      <c r="E35" s="22">
        <f>SUMIFS('Journal Entries'!$I$5:$I$785,'Journal Entries'!$D$5:$D$785,"6100",'Journal Entries'!$J$5:$J$785,"&lt;=7")</f>
        <v>-9000000</v>
      </c>
      <c r="F35" s="22">
        <f>SUMIFS('Journal Entries'!$I$5:$I$785,'Journal Entries'!$D$5:$D$785,"6100",'Journal Entries'!$J$5:$J$785,"&lt;=11")</f>
        <v>-39000000</v>
      </c>
      <c r="G35" s="22">
        <f>SUMIFS('Journal Entries'!$I$5:$I$785,'Journal Entries'!$D$5:$D$785,"6100",'Journal Entries'!$J$5:$J$785,"&lt;=15")</f>
        <v>-35000000</v>
      </c>
      <c r="H35" s="22">
        <f>SUMIFS('Journal Entries'!$I$5:$I$785,'Journal Entries'!$D$5:$D$785,"6100",'Journal Entries'!$J$5:$J$785,"&lt;=19")</f>
        <v>-66000000</v>
      </c>
      <c r="I35" s="22">
        <f>SUMIFS('Journal Entries'!$I$5:$I$785,'Journal Entries'!$D$5:$D$785,"6100",'Journal Entries'!$J$5:$J$785,"&lt;=23")</f>
        <v>-51000000</v>
      </c>
      <c r="J35" s="22">
        <f>SUMIFS('Journal Entries'!$I$5:$I$785,'Journal Entries'!$D$5:$D$785,"6100",'Journal Entries'!$J$5:$J$785,"&lt;=27")</f>
        <v>-62500000</v>
      </c>
      <c r="K35" s="22">
        <f>SUMIFS('Journal Entries'!$I$5:$I$785,'Journal Entries'!$D$5:$D$785,"6100",'Journal Entries'!$J$5:$J$785,"&lt;=31")</f>
        <v>-78000000</v>
      </c>
      <c r="L35" s="22">
        <f>SUMIFS('Journal Entries'!$I$5:$I$785,'Journal Entries'!$D$5:$D$785,"6100",'Journal Entries'!$J$5:$J$785,"&lt;=35")</f>
        <v>-64000000</v>
      </c>
      <c r="M35" s="22">
        <f>SUMIFS('Journal Entries'!$I$5:$I$785,'Journal Entries'!$D$5:$D$785,"6100",'Journal Entries'!$J$5:$J$785,"&lt;=39")</f>
        <v>-28000000</v>
      </c>
      <c r="N35" s="22">
        <f>SUMIFS('Journal Entries'!$I$5:$I$785,'Journal Entries'!$D$5:$D$785,"6100",'Journal Entries'!$J$5:$J$785,"&lt;=43")</f>
        <v>0</v>
      </c>
      <c r="O35" s="22">
        <f>SUMIFS('Journal Entries'!$I$5:$I$785,'Journal Entries'!$D$5:$D$785,"6100",'Journal Entries'!$J$5:$J$785,"&lt;=45")</f>
        <v>0</v>
      </c>
    </row>
    <row r="36" spans="1:15" x14ac:dyDescent="0.25">
      <c r="B36" s="7" t="s">
        <v>304</v>
      </c>
      <c r="D36" s="21">
        <f t="shared" ref="D36:O36" si="0">SUM(D5:D35)</f>
        <v>0</v>
      </c>
      <c r="E36" s="21">
        <f t="shared" si="0"/>
        <v>0</v>
      </c>
      <c r="F36" s="21">
        <f t="shared" si="0"/>
        <v>0</v>
      </c>
      <c r="G36" s="21">
        <f t="shared" si="0"/>
        <v>0</v>
      </c>
      <c r="H36" s="21">
        <f t="shared" si="0"/>
        <v>0</v>
      </c>
      <c r="I36" s="21">
        <f t="shared" si="0"/>
        <v>0</v>
      </c>
      <c r="J36" s="21">
        <f t="shared" si="0"/>
        <v>0</v>
      </c>
      <c r="K36" s="21">
        <f t="shared" si="0"/>
        <v>0</v>
      </c>
      <c r="L36" s="21">
        <f t="shared" si="0"/>
        <v>0</v>
      </c>
      <c r="M36" s="21">
        <f t="shared" si="0"/>
        <v>5.9604644775390625E-8</v>
      </c>
      <c r="N36" s="21">
        <f t="shared" si="0"/>
        <v>2.9802322387695313E-8</v>
      </c>
      <c r="O36" s="21">
        <f t="shared" si="0"/>
        <v>2.9802322387695313E-8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1"/>
  <sheetViews>
    <sheetView workbookViewId="0"/>
  </sheetViews>
  <sheetFormatPr defaultRowHeight="15" x14ac:dyDescent="0.25"/>
  <cols>
    <col min="1" max="1" width="52" customWidth="1"/>
    <col min="2" max="13" width="16" customWidth="1"/>
  </cols>
  <sheetData>
    <row r="1" spans="1:13" ht="18" customHeight="1" x14ac:dyDescent="0.25">
      <c r="A1" s="9" t="s">
        <v>305</v>
      </c>
    </row>
    <row r="2" spans="1:13" x14ac:dyDescent="0.25">
      <c r="A2" s="10" t="s">
        <v>306</v>
      </c>
    </row>
    <row r="4" spans="1:13" x14ac:dyDescent="0.25">
      <c r="A4" s="5" t="s">
        <v>307</v>
      </c>
      <c r="B4" s="5" t="s">
        <v>290</v>
      </c>
      <c r="C4" s="5" t="s">
        <v>291</v>
      </c>
      <c r="D4" s="5" t="s">
        <v>292</v>
      </c>
      <c r="E4" s="5" t="s">
        <v>293</v>
      </c>
      <c r="F4" s="5" t="s">
        <v>294</v>
      </c>
      <c r="G4" s="5" t="s">
        <v>295</v>
      </c>
      <c r="H4" s="5" t="s">
        <v>296</v>
      </c>
      <c r="I4" s="5" t="s">
        <v>297</v>
      </c>
      <c r="J4" s="5" t="s">
        <v>298</v>
      </c>
      <c r="K4" s="5" t="s">
        <v>299</v>
      </c>
      <c r="L4" s="5" t="s">
        <v>300</v>
      </c>
      <c r="M4" s="5" t="s">
        <v>301</v>
      </c>
    </row>
    <row r="5" spans="1:13" x14ac:dyDescent="0.25">
      <c r="A5" s="6" t="s">
        <v>308</v>
      </c>
    </row>
    <row r="6" spans="1:13" x14ac:dyDescent="0.25">
      <c r="A6" s="8" t="s">
        <v>309</v>
      </c>
      <c r="B6" s="23">
        <f>'Trial Balance'!D$7+'Trial Balance'!D$8+'Trial Balance'!D$9</f>
        <v>43500000</v>
      </c>
      <c r="C6" s="23">
        <f>'Trial Balance'!E$7+'Trial Balance'!E$8+'Trial Balance'!E$9</f>
        <v>106000000</v>
      </c>
      <c r="D6" s="23">
        <f>'Trial Balance'!F$7+'Trial Balance'!F$8+'Trial Balance'!F$9</f>
        <v>184000000</v>
      </c>
      <c r="E6" s="23">
        <f>'Trial Balance'!G$7+'Trial Balance'!G$8+'Trial Balance'!G$9</f>
        <v>207298178</v>
      </c>
      <c r="F6" s="23">
        <f>'Trial Balance'!H$7+'Trial Balance'!H$8+'Trial Balance'!H$9</f>
        <v>249218234.11000001</v>
      </c>
      <c r="G6" s="23">
        <f>'Trial Balance'!I$7+'Trial Balance'!I$8+'Trial Balance'!I$9</f>
        <v>186379274.18000004</v>
      </c>
      <c r="H6" s="23">
        <f>'Trial Balance'!J$7+'Trial Balance'!J$8+'Trial Balance'!J$9</f>
        <v>176311543.82000002</v>
      </c>
      <c r="I6" s="23">
        <f>'Trial Balance'!K$7+'Trial Balance'!K$8+'Trial Balance'!K$9</f>
        <v>194549084.71000004</v>
      </c>
      <c r="J6" s="23">
        <f>'Trial Balance'!L$7+'Trial Balance'!L$8+'Trial Balance'!L$9</f>
        <v>148630211.12000003</v>
      </c>
      <c r="K6" s="23">
        <f>'Trial Balance'!M$7+'Trial Balance'!M$8+'Trial Balance'!M$9</f>
        <v>46000000.00000003</v>
      </c>
      <c r="L6" s="23">
        <f>'Trial Balance'!N$7+'Trial Balance'!N$8+'Trial Balance'!N$9</f>
        <v>2.6077032089233398E-8</v>
      </c>
      <c r="M6" s="23">
        <f>'Trial Balance'!O$7+'Trial Balance'!O$8+'Trial Balance'!O$9</f>
        <v>2.6077032089233398E-8</v>
      </c>
    </row>
    <row r="7" spans="1:13" x14ac:dyDescent="0.25">
      <c r="A7" s="8" t="s">
        <v>146</v>
      </c>
      <c r="B7" s="23">
        <f>'Trial Balance'!D$5</f>
        <v>292000</v>
      </c>
      <c r="C7" s="23">
        <f>'Trial Balance'!E$5</f>
        <v>274000</v>
      </c>
      <c r="D7" s="23">
        <f>'Trial Balance'!F$5</f>
        <v>2056000</v>
      </c>
      <c r="E7" s="23">
        <f>'Trial Balance'!G$5</f>
        <v>1788000</v>
      </c>
      <c r="F7" s="23">
        <f>'Trial Balance'!H$5</f>
        <v>1320000</v>
      </c>
      <c r="G7" s="23">
        <f>'Trial Balance'!I$5</f>
        <v>1702000</v>
      </c>
      <c r="H7" s="23">
        <f>'Trial Balance'!J$5</f>
        <v>1758000</v>
      </c>
      <c r="I7" s="23">
        <f>'Trial Balance'!K$5</f>
        <v>304000</v>
      </c>
      <c r="J7" s="23">
        <f>'Trial Balance'!L$5</f>
        <v>2075000</v>
      </c>
      <c r="K7" s="23">
        <f>'Trial Balance'!M$5</f>
        <v>3058277.700000003</v>
      </c>
      <c r="L7" s="23">
        <f>'Trial Balance'!N$5</f>
        <v>2734277.700000003</v>
      </c>
      <c r="M7" s="23">
        <f>'Trial Balance'!O$5</f>
        <v>2.7939677238464355E-9</v>
      </c>
    </row>
    <row r="8" spans="1:13" x14ac:dyDescent="0.25">
      <c r="A8" s="8" t="s">
        <v>159</v>
      </c>
      <c r="B8" s="23">
        <f>'Trial Balance'!D$10</f>
        <v>0</v>
      </c>
      <c r="C8" s="23">
        <f>'Trial Balance'!E$10</f>
        <v>0</v>
      </c>
      <c r="D8" s="23">
        <f>'Trial Balance'!F$10</f>
        <v>0</v>
      </c>
      <c r="E8" s="23">
        <f>'Trial Balance'!G$10</f>
        <v>0</v>
      </c>
      <c r="F8" s="23">
        <f>'Trial Balance'!H$10</f>
        <v>0</v>
      </c>
      <c r="G8" s="23">
        <f>'Trial Balance'!I$10</f>
        <v>0</v>
      </c>
      <c r="H8" s="23">
        <f>'Trial Balance'!J$10</f>
        <v>0</v>
      </c>
      <c r="I8" s="23">
        <f>'Trial Balance'!K$10</f>
        <v>0</v>
      </c>
      <c r="J8" s="23">
        <f>'Trial Balance'!L$10</f>
        <v>0</v>
      </c>
      <c r="K8" s="23">
        <f>'Trial Balance'!M$10</f>
        <v>0</v>
      </c>
      <c r="L8" s="23">
        <f>'Trial Balance'!N$10</f>
        <v>0</v>
      </c>
      <c r="M8" s="23">
        <f>'Trial Balance'!O$10</f>
        <v>0</v>
      </c>
    </row>
    <row r="9" spans="1:13" x14ac:dyDescent="0.25">
      <c r="A9" s="8" t="s">
        <v>150</v>
      </c>
      <c r="B9" s="23">
        <f>'Trial Balance'!D$6</f>
        <v>0</v>
      </c>
      <c r="C9" s="23">
        <f>'Trial Balance'!E$6</f>
        <v>0</v>
      </c>
      <c r="D9" s="23">
        <f>'Trial Balance'!F$6</f>
        <v>0</v>
      </c>
      <c r="E9" s="23">
        <f>'Trial Balance'!G$6</f>
        <v>0</v>
      </c>
      <c r="F9" s="23">
        <f>'Trial Balance'!H$6</f>
        <v>0</v>
      </c>
      <c r="G9" s="23">
        <f>'Trial Balance'!I$6</f>
        <v>0</v>
      </c>
      <c r="H9" s="23">
        <f>'Trial Balance'!J$6</f>
        <v>0</v>
      </c>
      <c r="I9" s="23">
        <f>'Trial Balance'!K$6</f>
        <v>0</v>
      </c>
      <c r="J9" s="23">
        <f>'Trial Balance'!L$6</f>
        <v>0</v>
      </c>
      <c r="K9" s="23">
        <f>'Trial Balance'!M$6</f>
        <v>0</v>
      </c>
      <c r="L9" s="23">
        <f>'Trial Balance'!N$6</f>
        <v>0</v>
      </c>
      <c r="M9" s="23">
        <f>'Trial Balance'!O$6</f>
        <v>0</v>
      </c>
    </row>
    <row r="10" spans="1:13" x14ac:dyDescent="0.25">
      <c r="A10" s="8" t="s">
        <v>162</v>
      </c>
      <c r="B10" s="23">
        <f>'Trial Balance'!D$11</f>
        <v>0</v>
      </c>
      <c r="C10" s="23">
        <f>'Trial Balance'!E$11</f>
        <v>0</v>
      </c>
      <c r="D10" s="23">
        <f>'Trial Balance'!F$11</f>
        <v>0</v>
      </c>
      <c r="E10" s="23">
        <f>'Trial Balance'!G$11</f>
        <v>0</v>
      </c>
      <c r="F10" s="23">
        <f>'Trial Balance'!H$11</f>
        <v>0</v>
      </c>
      <c r="G10" s="23">
        <f>'Trial Balance'!I$11</f>
        <v>0</v>
      </c>
      <c r="H10" s="23">
        <f>'Trial Balance'!J$11</f>
        <v>0</v>
      </c>
      <c r="I10" s="23">
        <f>'Trial Balance'!K$11</f>
        <v>0</v>
      </c>
      <c r="J10" s="23">
        <f>'Trial Balance'!L$11</f>
        <v>0</v>
      </c>
      <c r="K10" s="23">
        <f>'Trial Balance'!M$11</f>
        <v>0</v>
      </c>
      <c r="L10" s="23">
        <f>'Trial Balance'!N$11</f>
        <v>0</v>
      </c>
      <c r="M10" s="23">
        <f>'Trial Balance'!O$11</f>
        <v>0</v>
      </c>
    </row>
    <row r="11" spans="1:13" x14ac:dyDescent="0.25">
      <c r="A11" s="8" t="s">
        <v>164</v>
      </c>
      <c r="B11" s="23">
        <f>'Trial Balance'!D$12</f>
        <v>0</v>
      </c>
      <c r="C11" s="23">
        <f>'Trial Balance'!E$12</f>
        <v>0</v>
      </c>
      <c r="D11" s="23">
        <f>'Trial Balance'!F$12</f>
        <v>0</v>
      </c>
      <c r="E11" s="23">
        <f>'Trial Balance'!G$12</f>
        <v>0</v>
      </c>
      <c r="F11" s="23">
        <f>'Trial Balance'!H$12</f>
        <v>0</v>
      </c>
      <c r="G11" s="23">
        <f>'Trial Balance'!I$12</f>
        <v>0</v>
      </c>
      <c r="H11" s="23">
        <f>'Trial Balance'!J$12</f>
        <v>0</v>
      </c>
      <c r="I11" s="23">
        <f>'Trial Balance'!K$12</f>
        <v>0</v>
      </c>
      <c r="J11" s="23">
        <f>'Trial Balance'!L$12</f>
        <v>0</v>
      </c>
      <c r="K11" s="23">
        <f>'Trial Balance'!M$12</f>
        <v>0</v>
      </c>
      <c r="L11" s="23">
        <f>'Trial Balance'!N$12</f>
        <v>0</v>
      </c>
      <c r="M11" s="23">
        <f>'Trial Balance'!O$12</f>
        <v>0</v>
      </c>
    </row>
    <row r="12" spans="1:13" x14ac:dyDescent="0.25">
      <c r="A12" s="7" t="s">
        <v>310</v>
      </c>
      <c r="B12" s="23">
        <f>'Trial Balance'!D$5+'Trial Balance'!D$6+'Trial Balance'!D$7+'Trial Balance'!D$8+'Trial Balance'!D$9+'Trial Balance'!D$10+'Trial Balance'!D$11+'Trial Balance'!D$12</f>
        <v>43792000</v>
      </c>
      <c r="C12" s="23">
        <f>'Trial Balance'!E$5+'Trial Balance'!E$6+'Trial Balance'!E$7+'Trial Balance'!E$8+'Trial Balance'!E$9+'Trial Balance'!E$10+'Trial Balance'!E$11+'Trial Balance'!E$12</f>
        <v>106274000</v>
      </c>
      <c r="D12" s="23">
        <f>'Trial Balance'!F$5+'Trial Balance'!F$6+'Trial Balance'!F$7+'Trial Balance'!F$8+'Trial Balance'!F$9+'Trial Balance'!F$10+'Trial Balance'!F$11+'Trial Balance'!F$12</f>
        <v>186056000</v>
      </c>
      <c r="E12" s="23">
        <f>'Trial Balance'!G$5+'Trial Balance'!G$6+'Trial Balance'!G$7+'Trial Balance'!G$8+'Trial Balance'!G$9+'Trial Balance'!G$10+'Trial Balance'!G$11+'Trial Balance'!G$12</f>
        <v>209086178</v>
      </c>
      <c r="F12" s="23">
        <f>'Trial Balance'!H$5+'Trial Balance'!H$6+'Trial Balance'!H$7+'Trial Balance'!H$8+'Trial Balance'!H$9+'Trial Balance'!H$10+'Trial Balance'!H$11+'Trial Balance'!H$12</f>
        <v>250538234.11000001</v>
      </c>
      <c r="G12" s="23">
        <f>'Trial Balance'!I$5+'Trial Balance'!I$6+'Trial Balance'!I$7+'Trial Balance'!I$8+'Trial Balance'!I$9+'Trial Balance'!I$10+'Trial Balance'!I$11+'Trial Balance'!I$12</f>
        <v>188081274.18000004</v>
      </c>
      <c r="H12" s="23">
        <f>'Trial Balance'!J$5+'Trial Balance'!J$6+'Trial Balance'!J$7+'Trial Balance'!J$8+'Trial Balance'!J$9+'Trial Balance'!J$10+'Trial Balance'!J$11+'Trial Balance'!J$12</f>
        <v>178069543.82000002</v>
      </c>
      <c r="I12" s="23">
        <f>'Trial Balance'!K$5+'Trial Balance'!K$6+'Trial Balance'!K$7+'Trial Balance'!K$8+'Trial Balance'!K$9+'Trial Balance'!K$10+'Trial Balance'!K$11+'Trial Balance'!K$12</f>
        <v>194853084.71000004</v>
      </c>
      <c r="J12" s="23">
        <f>'Trial Balance'!L$5+'Trial Balance'!L$6+'Trial Balance'!L$7+'Trial Balance'!L$8+'Trial Balance'!L$9+'Trial Balance'!L$10+'Trial Balance'!L$11+'Trial Balance'!L$12</f>
        <v>150705211.12000003</v>
      </c>
      <c r="K12" s="23">
        <f>'Trial Balance'!M$5+'Trial Balance'!M$6+'Trial Balance'!M$7+'Trial Balance'!M$8+'Trial Balance'!M$9+'Trial Balance'!M$10+'Trial Balance'!M$11+'Trial Balance'!M$12</f>
        <v>49058277.700000033</v>
      </c>
      <c r="L12" s="23">
        <f>'Trial Balance'!N$5+'Trial Balance'!N$6+'Trial Balance'!N$7+'Trial Balance'!N$8+'Trial Balance'!N$9+'Trial Balance'!N$10+'Trial Balance'!N$11+'Trial Balance'!N$12</f>
        <v>2734277.7000000291</v>
      </c>
      <c r="M12" s="23">
        <f>'Trial Balance'!O$5+'Trial Balance'!O$6+'Trial Balance'!O$7+'Trial Balance'!O$8+'Trial Balance'!O$9+'Trial Balance'!O$10+'Trial Balance'!O$11+'Trial Balance'!O$12</f>
        <v>2.8870999813079834E-8</v>
      </c>
    </row>
    <row r="14" spans="1:13" x14ac:dyDescent="0.25">
      <c r="A14" s="6" t="s">
        <v>311</v>
      </c>
    </row>
    <row r="15" spans="1:13" x14ac:dyDescent="0.25">
      <c r="A15" s="8" t="s">
        <v>167</v>
      </c>
      <c r="B15" s="23">
        <f>-('Trial Balance'!D$13)</f>
        <v>0</v>
      </c>
      <c r="C15" s="23">
        <f>-('Trial Balance'!E$13)</f>
        <v>0</v>
      </c>
      <c r="D15" s="23">
        <f>-('Trial Balance'!F$13)</f>
        <v>0</v>
      </c>
      <c r="E15" s="23">
        <f>-('Trial Balance'!G$13)</f>
        <v>0</v>
      </c>
      <c r="F15" s="23">
        <f>-('Trial Balance'!H$13)</f>
        <v>0</v>
      </c>
      <c r="G15" s="23">
        <f>-('Trial Balance'!I$13)</f>
        <v>0</v>
      </c>
      <c r="H15" s="23">
        <f>-('Trial Balance'!J$13)</f>
        <v>0</v>
      </c>
      <c r="I15" s="23">
        <f>-('Trial Balance'!K$13)</f>
        <v>0</v>
      </c>
      <c r="J15" s="23">
        <f>-('Trial Balance'!L$13)</f>
        <v>0</v>
      </c>
      <c r="K15" s="23">
        <f>-('Trial Balance'!M$13)</f>
        <v>0</v>
      </c>
      <c r="L15" s="23">
        <f>-('Trial Balance'!N$13)</f>
        <v>0</v>
      </c>
      <c r="M15" s="23">
        <f>-('Trial Balance'!O$13)</f>
        <v>0</v>
      </c>
    </row>
    <row r="16" spans="1:13" x14ac:dyDescent="0.25">
      <c r="A16" s="8" t="s">
        <v>171</v>
      </c>
      <c r="B16" s="23">
        <f>-('Trial Balance'!D$14)</f>
        <v>0</v>
      </c>
      <c r="C16" s="23">
        <f>-('Trial Balance'!E$14)</f>
        <v>0</v>
      </c>
      <c r="D16" s="23">
        <f>-('Trial Balance'!F$14)</f>
        <v>0</v>
      </c>
      <c r="E16" s="23">
        <f>-('Trial Balance'!G$14)</f>
        <v>0</v>
      </c>
      <c r="F16" s="23">
        <f>-('Trial Balance'!H$14)</f>
        <v>0</v>
      </c>
      <c r="G16" s="23">
        <f>-('Trial Balance'!I$14)</f>
        <v>0</v>
      </c>
      <c r="H16" s="23">
        <f>-('Trial Balance'!J$14)</f>
        <v>0</v>
      </c>
      <c r="I16" s="23">
        <f>-('Trial Balance'!K$14)</f>
        <v>0</v>
      </c>
      <c r="J16" s="23">
        <f>-('Trial Balance'!L$14)</f>
        <v>0</v>
      </c>
      <c r="K16" s="23">
        <f>-('Trial Balance'!M$14)</f>
        <v>0</v>
      </c>
      <c r="L16" s="23">
        <f>-('Trial Balance'!N$14)</f>
        <v>0</v>
      </c>
      <c r="M16" s="23">
        <f>-('Trial Balance'!O$14)</f>
        <v>0</v>
      </c>
    </row>
    <row r="17" spans="1:13" x14ac:dyDescent="0.25">
      <c r="A17" s="8" t="s">
        <v>175</v>
      </c>
      <c r="B17" s="23">
        <f>-('Trial Balance'!D$16)</f>
        <v>0</v>
      </c>
      <c r="C17" s="23">
        <f>-('Trial Balance'!E$16)</f>
        <v>0</v>
      </c>
      <c r="D17" s="23">
        <f>-('Trial Balance'!F$16)</f>
        <v>0</v>
      </c>
      <c r="E17" s="23">
        <f>-('Trial Balance'!G$16)</f>
        <v>0</v>
      </c>
      <c r="F17" s="23">
        <f>-('Trial Balance'!H$16)</f>
        <v>0</v>
      </c>
      <c r="G17" s="23">
        <f>-('Trial Balance'!I$16)</f>
        <v>0</v>
      </c>
      <c r="H17" s="23">
        <f>-('Trial Balance'!J$16)</f>
        <v>0</v>
      </c>
      <c r="I17" s="23">
        <f>-('Trial Balance'!K$16)</f>
        <v>0</v>
      </c>
      <c r="J17" s="23">
        <f>-('Trial Balance'!L$16)</f>
        <v>0</v>
      </c>
      <c r="K17" s="23">
        <f>-('Trial Balance'!M$16)</f>
        <v>0</v>
      </c>
      <c r="L17" s="23">
        <f>-('Trial Balance'!N$16)</f>
        <v>0</v>
      </c>
      <c r="M17" s="23">
        <f>-('Trial Balance'!O$16)</f>
        <v>0</v>
      </c>
    </row>
    <row r="18" spans="1:13" x14ac:dyDescent="0.25">
      <c r="A18" s="8" t="s">
        <v>173</v>
      </c>
      <c r="B18" s="23">
        <f>-('Trial Balance'!D$15)</f>
        <v>0</v>
      </c>
      <c r="C18" s="23">
        <f>-('Trial Balance'!E$15)</f>
        <v>0</v>
      </c>
      <c r="D18" s="23">
        <f>-('Trial Balance'!F$15)</f>
        <v>0</v>
      </c>
      <c r="E18" s="23">
        <f>-('Trial Balance'!G$15)</f>
        <v>0</v>
      </c>
      <c r="F18" s="23">
        <f>-('Trial Balance'!H$15)</f>
        <v>0</v>
      </c>
      <c r="G18" s="23">
        <f>-('Trial Balance'!I$15)</f>
        <v>0</v>
      </c>
      <c r="H18" s="23">
        <f>-('Trial Balance'!J$15)</f>
        <v>0</v>
      </c>
      <c r="I18" s="23">
        <f>-('Trial Balance'!K$15)</f>
        <v>0</v>
      </c>
      <c r="J18" s="23">
        <f>-('Trial Balance'!L$15)</f>
        <v>0</v>
      </c>
      <c r="K18" s="23">
        <f>-('Trial Balance'!M$15)</f>
        <v>0</v>
      </c>
      <c r="L18" s="23">
        <f>-('Trial Balance'!N$15)</f>
        <v>0</v>
      </c>
      <c r="M18" s="23">
        <f>-('Trial Balance'!O$15)</f>
        <v>0</v>
      </c>
    </row>
    <row r="19" spans="1:13" x14ac:dyDescent="0.25">
      <c r="A19" s="7" t="s">
        <v>312</v>
      </c>
      <c r="B19" s="23">
        <f>-('Trial Balance'!D$13+'Trial Balance'!D$14+'Trial Balance'!D$15+'Trial Balance'!D$16)</f>
        <v>0</v>
      </c>
      <c r="C19" s="23">
        <f>-('Trial Balance'!E$13+'Trial Balance'!E$14+'Trial Balance'!E$15+'Trial Balance'!E$16)</f>
        <v>0</v>
      </c>
      <c r="D19" s="23">
        <f>-('Trial Balance'!F$13+'Trial Balance'!F$14+'Trial Balance'!F$15+'Trial Balance'!F$16)</f>
        <v>0</v>
      </c>
      <c r="E19" s="23">
        <f>-('Trial Balance'!G$13+'Trial Balance'!G$14+'Trial Balance'!G$15+'Trial Balance'!G$16)</f>
        <v>0</v>
      </c>
      <c r="F19" s="23">
        <f>-('Trial Balance'!H$13+'Trial Balance'!H$14+'Trial Balance'!H$15+'Trial Balance'!H$16)</f>
        <v>0</v>
      </c>
      <c r="G19" s="23">
        <f>-('Trial Balance'!I$13+'Trial Balance'!I$14+'Trial Balance'!I$15+'Trial Balance'!I$16)</f>
        <v>0</v>
      </c>
      <c r="H19" s="23">
        <f>-('Trial Balance'!J$13+'Trial Balance'!J$14+'Trial Balance'!J$15+'Trial Balance'!J$16)</f>
        <v>0</v>
      </c>
      <c r="I19" s="23">
        <f>-('Trial Balance'!K$13+'Trial Balance'!K$14+'Trial Balance'!K$15+'Trial Balance'!K$16)</f>
        <v>0</v>
      </c>
      <c r="J19" s="23">
        <f>-('Trial Balance'!L$13+'Trial Balance'!L$14+'Trial Balance'!L$15+'Trial Balance'!L$16)</f>
        <v>0</v>
      </c>
      <c r="K19" s="23">
        <f>-('Trial Balance'!M$13+'Trial Balance'!M$14+'Trial Balance'!M$15+'Trial Balance'!M$16)</f>
        <v>0</v>
      </c>
      <c r="L19" s="23">
        <f>-('Trial Balance'!N$13+'Trial Balance'!N$14+'Trial Balance'!N$15+'Trial Balance'!N$16)</f>
        <v>0</v>
      </c>
      <c r="M19" s="23">
        <f>-('Trial Balance'!O$13+'Trial Balance'!O$14+'Trial Balance'!O$15+'Trial Balance'!O$16)</f>
        <v>0</v>
      </c>
    </row>
    <row r="21" spans="1:13" x14ac:dyDescent="0.25">
      <c r="A21" s="24" t="s">
        <v>313</v>
      </c>
      <c r="B21" s="16">
        <f t="shared" ref="B21:M21" si="0">B12-B19</f>
        <v>43792000</v>
      </c>
      <c r="C21" s="16">
        <f t="shared" si="0"/>
        <v>106274000</v>
      </c>
      <c r="D21" s="16">
        <f t="shared" si="0"/>
        <v>186056000</v>
      </c>
      <c r="E21" s="16">
        <f t="shared" si="0"/>
        <v>209086178</v>
      </c>
      <c r="F21" s="16">
        <f t="shared" si="0"/>
        <v>250538234.11000001</v>
      </c>
      <c r="G21" s="16">
        <f t="shared" si="0"/>
        <v>188081274.18000004</v>
      </c>
      <c r="H21" s="16">
        <f t="shared" si="0"/>
        <v>178069543.82000002</v>
      </c>
      <c r="I21" s="16">
        <f t="shared" si="0"/>
        <v>194853084.71000004</v>
      </c>
      <c r="J21" s="16">
        <f t="shared" si="0"/>
        <v>150705211.12000003</v>
      </c>
      <c r="K21" s="16">
        <f t="shared" si="0"/>
        <v>49058277.700000033</v>
      </c>
      <c r="L21" s="16">
        <f t="shared" si="0"/>
        <v>2734277.7000000291</v>
      </c>
      <c r="M21" s="16">
        <f t="shared" si="0"/>
        <v>2.8870999813079834E-8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8"/>
  <sheetViews>
    <sheetView workbookViewId="0"/>
  </sheetViews>
  <sheetFormatPr defaultRowHeight="15" x14ac:dyDescent="0.25"/>
  <cols>
    <col min="1" max="1" width="52" customWidth="1"/>
    <col min="2" max="14" width="16" customWidth="1"/>
  </cols>
  <sheetData>
    <row r="1" spans="1:14" ht="18" customHeight="1" x14ac:dyDescent="0.25">
      <c r="A1" s="9" t="s">
        <v>36</v>
      </c>
    </row>
    <row r="2" spans="1:14" x14ac:dyDescent="0.25">
      <c r="A2" s="10" t="s">
        <v>314</v>
      </c>
    </row>
    <row r="4" spans="1:14" ht="30" customHeight="1" x14ac:dyDescent="0.25">
      <c r="A4" s="5" t="s">
        <v>307</v>
      </c>
      <c r="B4" s="5" t="s">
        <v>290</v>
      </c>
      <c r="C4" s="5" t="s">
        <v>291</v>
      </c>
      <c r="D4" s="5" t="s">
        <v>292</v>
      </c>
      <c r="E4" s="5" t="s">
        <v>293</v>
      </c>
      <c r="F4" s="5" t="s">
        <v>294</v>
      </c>
      <c r="G4" s="5" t="s">
        <v>295</v>
      </c>
      <c r="H4" s="5" t="s">
        <v>296</v>
      </c>
      <c r="I4" s="5" t="s">
        <v>297</v>
      </c>
      <c r="J4" s="5" t="s">
        <v>298</v>
      </c>
      <c r="K4" s="5" t="s">
        <v>299</v>
      </c>
      <c r="L4" s="5" t="s">
        <v>300</v>
      </c>
      <c r="M4" s="5" t="s">
        <v>301</v>
      </c>
      <c r="N4" s="5" t="s">
        <v>315</v>
      </c>
    </row>
    <row r="5" spans="1:14" x14ac:dyDescent="0.25">
      <c r="A5" s="6" t="s">
        <v>316</v>
      </c>
    </row>
    <row r="6" spans="1:14" x14ac:dyDescent="0.25">
      <c r="A6" s="8" t="s">
        <v>317</v>
      </c>
      <c r="B6" s="23">
        <f>-('Trial Balance'!D$21)</f>
        <v>0</v>
      </c>
      <c r="C6" s="23">
        <f>-(('Trial Balance'!E$21-'Trial Balance'!D$21))</f>
        <v>0</v>
      </c>
      <c r="D6" s="23">
        <f>-(('Trial Balance'!F$21-'Trial Balance'!E$21))</f>
        <v>0</v>
      </c>
      <c r="E6" s="23">
        <f>-(('Trial Balance'!G$21-'Trial Balance'!F$21))</f>
        <v>1298178</v>
      </c>
      <c r="F6" s="23">
        <f>-(('Trial Balance'!H$21-'Trial Balance'!G$21))</f>
        <v>1920056.1099999999</v>
      </c>
      <c r="G6" s="23">
        <f>-(('Trial Balance'!I$21-'Trial Balance'!H$21))</f>
        <v>2161040.0699999998</v>
      </c>
      <c r="H6" s="23">
        <f>-(('Trial Balance'!J$21-'Trial Balance'!I$21))</f>
        <v>2432269.6400000006</v>
      </c>
      <c r="I6" s="23">
        <f>-(('Trial Balance'!K$21-'Trial Balance'!J$21))</f>
        <v>2737540.8900000006</v>
      </c>
      <c r="J6" s="23">
        <f>-(('Trial Balance'!L$21-'Trial Balance'!K$21))</f>
        <v>3081126.41</v>
      </c>
      <c r="K6" s="23">
        <f>-(('Trial Balance'!M$21-'Trial Balance'!L$21))</f>
        <v>2562066.58</v>
      </c>
      <c r="L6" s="23">
        <f>-(('Trial Balance'!N$21-'Trial Balance'!M$21))</f>
        <v>0</v>
      </c>
      <c r="M6" s="23">
        <f>-(('Trial Balance'!O$21-'Trial Balance'!N$21))</f>
        <v>0</v>
      </c>
      <c r="N6" s="16">
        <f>SUM(B6:M6)</f>
        <v>16192277.700000001</v>
      </c>
    </row>
    <row r="7" spans="1:14" x14ac:dyDescent="0.25">
      <c r="A7" s="8" t="s">
        <v>318</v>
      </c>
      <c r="B7" s="23">
        <f>-('Trial Balance'!D$22)</f>
        <v>0</v>
      </c>
      <c r="C7" s="23">
        <f>-(('Trial Balance'!E$22-'Trial Balance'!D$22))</f>
        <v>0</v>
      </c>
      <c r="D7" s="23">
        <f>-(('Trial Balance'!F$22-'Trial Balance'!E$22))</f>
        <v>0</v>
      </c>
      <c r="E7" s="23">
        <f>-(('Trial Balance'!G$22-'Trial Balance'!F$22))</f>
        <v>0</v>
      </c>
      <c r="F7" s="23">
        <f>-(('Trial Balance'!H$22-'Trial Balance'!G$22))</f>
        <v>0</v>
      </c>
      <c r="G7" s="23">
        <f>-(('Trial Balance'!I$22-'Trial Balance'!H$22))</f>
        <v>0</v>
      </c>
      <c r="H7" s="23">
        <f>-(('Trial Balance'!J$22-'Trial Balance'!I$22))</f>
        <v>0</v>
      </c>
      <c r="I7" s="23">
        <f>-(('Trial Balance'!K$22-'Trial Balance'!J$22))</f>
        <v>0</v>
      </c>
      <c r="J7" s="23">
        <f>-(('Trial Balance'!L$22-'Trial Balance'!K$22))</f>
        <v>0</v>
      </c>
      <c r="K7" s="23">
        <f>-(('Trial Balance'!M$22-'Trial Balance'!L$22))</f>
        <v>0</v>
      </c>
      <c r="L7" s="23">
        <f>-(('Trial Balance'!N$22-'Trial Balance'!M$22))</f>
        <v>0</v>
      </c>
      <c r="M7" s="23">
        <f>-(('Trial Balance'!O$22-'Trial Balance'!N$22))</f>
        <v>0</v>
      </c>
      <c r="N7" s="16">
        <f>SUM(B7:M7)</f>
        <v>0</v>
      </c>
    </row>
    <row r="8" spans="1:14" x14ac:dyDescent="0.25">
      <c r="A8" s="8" t="s">
        <v>319</v>
      </c>
      <c r="B8" s="23">
        <f>-('Trial Balance'!D$23)</f>
        <v>0</v>
      </c>
      <c r="C8" s="23">
        <f>-(('Trial Balance'!E$23-'Trial Balance'!D$23))</f>
        <v>0</v>
      </c>
      <c r="D8" s="23">
        <f>-(('Trial Balance'!F$23-'Trial Balance'!E$23))</f>
        <v>0</v>
      </c>
      <c r="E8" s="23">
        <f>-(('Trial Balance'!G$23-'Trial Balance'!F$23))</f>
        <v>0</v>
      </c>
      <c r="F8" s="23">
        <f>-(('Trial Balance'!H$23-'Trial Balance'!G$23))</f>
        <v>0</v>
      </c>
      <c r="G8" s="23">
        <f>-(('Trial Balance'!I$23-'Trial Balance'!H$23))</f>
        <v>0</v>
      </c>
      <c r="H8" s="23">
        <f>-(('Trial Balance'!J$23-'Trial Balance'!I$23))</f>
        <v>0</v>
      </c>
      <c r="I8" s="23">
        <f>-(('Trial Balance'!K$23-'Trial Balance'!J$23))</f>
        <v>0</v>
      </c>
      <c r="J8" s="23">
        <f>-(('Trial Balance'!L$23-'Trial Balance'!K$23))</f>
        <v>0</v>
      </c>
      <c r="K8" s="23">
        <f>-(('Trial Balance'!M$23-'Trial Balance'!L$23))</f>
        <v>0</v>
      </c>
      <c r="L8" s="23">
        <f>-(('Trial Balance'!N$23-'Trial Balance'!M$23))</f>
        <v>0</v>
      </c>
      <c r="M8" s="23">
        <f>-(('Trial Balance'!O$23-'Trial Balance'!N$23))</f>
        <v>0</v>
      </c>
      <c r="N8" s="16">
        <f>SUM(B8:M8)</f>
        <v>0</v>
      </c>
    </row>
    <row r="9" spans="1:14" x14ac:dyDescent="0.25">
      <c r="A9" s="7" t="s">
        <v>320</v>
      </c>
      <c r="B9" s="23">
        <f>-('Trial Balance'!D$21+'Trial Balance'!D$22+'Trial Balance'!D$23)</f>
        <v>0</v>
      </c>
      <c r="C9" s="23">
        <f>-(('Trial Balance'!E$21-'Trial Balance'!D$21)+('Trial Balance'!E$22-'Trial Balance'!D$22)+('Trial Balance'!E$23-'Trial Balance'!D$23))</f>
        <v>0</v>
      </c>
      <c r="D9" s="23">
        <f>-(('Trial Balance'!F$21-'Trial Balance'!E$21)+('Trial Balance'!F$22-'Trial Balance'!E$22)+('Trial Balance'!F$23-'Trial Balance'!E$23))</f>
        <v>0</v>
      </c>
      <c r="E9" s="23">
        <f>-(('Trial Balance'!G$21-'Trial Balance'!F$21)+('Trial Balance'!G$22-'Trial Balance'!F$22)+('Trial Balance'!G$23-'Trial Balance'!F$23))</f>
        <v>1298178</v>
      </c>
      <c r="F9" s="23">
        <f>-(('Trial Balance'!H$21-'Trial Balance'!G$21)+('Trial Balance'!H$22-'Trial Balance'!G$22)+('Trial Balance'!H$23-'Trial Balance'!G$23))</f>
        <v>1920056.1099999999</v>
      </c>
      <c r="G9" s="23">
        <f>-(('Trial Balance'!I$21-'Trial Balance'!H$21)+('Trial Balance'!I$22-'Trial Balance'!H$22)+('Trial Balance'!I$23-'Trial Balance'!H$23))</f>
        <v>2161040.0699999998</v>
      </c>
      <c r="H9" s="23">
        <f>-(('Trial Balance'!J$21-'Trial Balance'!I$21)+('Trial Balance'!J$22-'Trial Balance'!I$22)+('Trial Balance'!J$23-'Trial Balance'!I$23))</f>
        <v>2432269.6400000006</v>
      </c>
      <c r="I9" s="23">
        <f>-(('Trial Balance'!K$21-'Trial Balance'!J$21)+('Trial Balance'!K$22-'Trial Balance'!J$22)+('Trial Balance'!K$23-'Trial Balance'!J$23))</f>
        <v>2737540.8900000006</v>
      </c>
      <c r="J9" s="23">
        <f>-(('Trial Balance'!L$21-'Trial Balance'!K$21)+('Trial Balance'!L$22-'Trial Balance'!K$22)+('Trial Balance'!L$23-'Trial Balance'!K$23))</f>
        <v>3081126.41</v>
      </c>
      <c r="K9" s="23">
        <f>-(('Trial Balance'!M$21-'Trial Balance'!L$21)+('Trial Balance'!M$22-'Trial Balance'!L$22)+('Trial Balance'!M$23-'Trial Balance'!L$23))</f>
        <v>2562066.58</v>
      </c>
      <c r="L9" s="23">
        <f>-(('Trial Balance'!N$21-'Trial Balance'!M$21)+('Trial Balance'!N$22-'Trial Balance'!M$22)+('Trial Balance'!N$23-'Trial Balance'!M$23))</f>
        <v>0</v>
      </c>
      <c r="M9" s="23">
        <f>-(('Trial Balance'!O$21-'Trial Balance'!N$21)+('Trial Balance'!O$22-'Trial Balance'!N$22)+('Trial Balance'!O$23-'Trial Balance'!N$23))</f>
        <v>0</v>
      </c>
      <c r="N9" s="16">
        <f>SUM(B9:M9)</f>
        <v>16192277.700000001</v>
      </c>
    </row>
    <row r="11" spans="1:14" x14ac:dyDescent="0.25">
      <c r="A11" s="6" t="s">
        <v>321</v>
      </c>
    </row>
    <row r="12" spans="1:14" x14ac:dyDescent="0.25">
      <c r="A12" s="8" t="s">
        <v>197</v>
      </c>
      <c r="B12" s="23">
        <f>'Trial Balance'!D$24</f>
        <v>2600000</v>
      </c>
      <c r="C12" s="23">
        <f>('Trial Balance'!E$24-'Trial Balance'!D$24)</f>
        <v>4550000</v>
      </c>
      <c r="D12" s="23">
        <f>('Trial Balance'!F$24-'Trial Balance'!E$24)</f>
        <v>4900000</v>
      </c>
      <c r="E12" s="23">
        <f>('Trial Balance'!G$24-'Trial Balance'!F$24)</f>
        <v>4900000</v>
      </c>
      <c r="F12" s="23">
        <f>('Trial Balance'!H$24-'Trial Balance'!G$24)</f>
        <v>4900000</v>
      </c>
      <c r="G12" s="23">
        <f>('Trial Balance'!I$24-'Trial Balance'!H$24)</f>
        <v>4900000</v>
      </c>
      <c r="H12" s="23">
        <f>('Trial Balance'!J$24-'Trial Balance'!I$24)</f>
        <v>3510000</v>
      </c>
      <c r="I12" s="23">
        <f>('Trial Balance'!K$24-'Trial Balance'!J$24)</f>
        <v>2120000</v>
      </c>
      <c r="J12" s="23">
        <f>('Trial Balance'!L$24-'Trial Balance'!K$24)</f>
        <v>1595000</v>
      </c>
      <c r="K12" s="23">
        <f>('Trial Balance'!M$24-'Trial Balance'!L$24)</f>
        <v>875000</v>
      </c>
      <c r="L12" s="23">
        <f>('Trial Balance'!N$24-'Trial Balance'!M$24)</f>
        <v>90000</v>
      </c>
      <c r="M12" s="23">
        <f>('Trial Balance'!O$24-'Trial Balance'!N$24)</f>
        <v>0</v>
      </c>
      <c r="N12" s="16">
        <f t="shared" ref="N12:N22" si="0">SUM(B12:M12)</f>
        <v>34940000</v>
      </c>
    </row>
    <row r="13" spans="1:14" x14ac:dyDescent="0.25">
      <c r="A13" s="8" t="s">
        <v>322</v>
      </c>
      <c r="B13" s="23">
        <f>'Trial Balance'!D$25</f>
        <v>0</v>
      </c>
      <c r="C13" s="23">
        <f>('Trial Balance'!E$25-'Trial Balance'!D$25)</f>
        <v>0</v>
      </c>
      <c r="D13" s="23">
        <f>('Trial Balance'!F$25-'Trial Balance'!E$25)</f>
        <v>-350000</v>
      </c>
      <c r="E13" s="23">
        <f>('Trial Balance'!G$25-'Trial Balance'!F$25)</f>
        <v>-400000</v>
      </c>
      <c r="F13" s="23">
        <f>('Trial Balance'!H$25-'Trial Balance'!G$25)</f>
        <v>-400000</v>
      </c>
      <c r="G13" s="23">
        <f>('Trial Balance'!I$25-'Trial Balance'!H$25)</f>
        <v>-250000</v>
      </c>
      <c r="H13" s="23">
        <f>('Trial Balance'!J$25-'Trial Balance'!I$25)</f>
        <v>0</v>
      </c>
      <c r="I13" s="23">
        <f>('Trial Balance'!K$25-'Trial Balance'!J$25)</f>
        <v>0</v>
      </c>
      <c r="J13" s="23">
        <f>('Trial Balance'!L$25-'Trial Balance'!K$25)</f>
        <v>0</v>
      </c>
      <c r="K13" s="23">
        <f>('Trial Balance'!M$25-'Trial Balance'!L$25)</f>
        <v>0</v>
      </c>
      <c r="L13" s="23">
        <f>('Trial Balance'!N$25-'Trial Balance'!M$25)</f>
        <v>0</v>
      </c>
      <c r="M13" s="23">
        <f>('Trial Balance'!O$25-'Trial Balance'!N$25)</f>
        <v>0</v>
      </c>
      <c r="N13" s="16">
        <f t="shared" si="0"/>
        <v>-1400000</v>
      </c>
    </row>
    <row r="14" spans="1:14" x14ac:dyDescent="0.25">
      <c r="A14" s="8" t="s">
        <v>121</v>
      </c>
      <c r="B14" s="23">
        <f>'Trial Balance'!D$26</f>
        <v>1200000</v>
      </c>
      <c r="C14" s="23">
        <f>('Trial Balance'!E$26-'Trial Balance'!D$26)</f>
        <v>0</v>
      </c>
      <c r="D14" s="23">
        <f>('Trial Balance'!F$26-'Trial Balance'!E$26)</f>
        <v>0</v>
      </c>
      <c r="E14" s="23">
        <f>('Trial Balance'!G$26-'Trial Balance'!F$26)</f>
        <v>0</v>
      </c>
      <c r="F14" s="23">
        <f>('Trial Balance'!H$26-'Trial Balance'!G$26)</f>
        <v>0</v>
      </c>
      <c r="G14" s="23">
        <f>('Trial Balance'!I$26-'Trial Balance'!H$26)</f>
        <v>0</v>
      </c>
      <c r="H14" s="23">
        <f>('Trial Balance'!J$26-'Trial Balance'!I$26)</f>
        <v>0</v>
      </c>
      <c r="I14" s="23">
        <f>('Trial Balance'!K$26-'Trial Balance'!J$26)</f>
        <v>0</v>
      </c>
      <c r="J14" s="23">
        <f>('Trial Balance'!L$26-'Trial Balance'!K$26)</f>
        <v>0</v>
      </c>
      <c r="K14" s="23">
        <f>('Trial Balance'!M$26-'Trial Balance'!L$26)</f>
        <v>0</v>
      </c>
      <c r="L14" s="23">
        <f>('Trial Balance'!N$26-'Trial Balance'!M$26)</f>
        <v>0</v>
      </c>
      <c r="M14" s="23">
        <f>('Trial Balance'!O$26-'Trial Balance'!N$26)</f>
        <v>0</v>
      </c>
      <c r="N14" s="16">
        <f t="shared" si="0"/>
        <v>1200000</v>
      </c>
    </row>
    <row r="15" spans="1:14" x14ac:dyDescent="0.25">
      <c r="A15" s="8" t="s">
        <v>203</v>
      </c>
      <c r="B15" s="23">
        <f>'Trial Balance'!D$27</f>
        <v>0</v>
      </c>
      <c r="C15" s="23">
        <f>('Trial Balance'!E$27-'Trial Balance'!D$27)</f>
        <v>0</v>
      </c>
      <c r="D15" s="23">
        <f>('Trial Balance'!F$27-'Trial Balance'!E$27)</f>
        <v>0</v>
      </c>
      <c r="E15" s="23">
        <f>('Trial Balance'!G$27-'Trial Balance'!F$27)</f>
        <v>0</v>
      </c>
      <c r="F15" s="23">
        <f>('Trial Balance'!H$27-'Trial Balance'!G$27)</f>
        <v>0</v>
      </c>
      <c r="G15" s="23">
        <f>('Trial Balance'!I$27-'Trial Balance'!H$27)</f>
        <v>0</v>
      </c>
      <c r="H15" s="23">
        <f>('Trial Balance'!J$27-'Trial Balance'!I$27)</f>
        <v>0</v>
      </c>
      <c r="I15" s="23">
        <f>('Trial Balance'!K$27-'Trial Balance'!J$27)</f>
        <v>0</v>
      </c>
      <c r="J15" s="23">
        <f>('Trial Balance'!L$27-'Trial Balance'!K$27)</f>
        <v>0</v>
      </c>
      <c r="K15" s="23">
        <f>('Trial Balance'!M$27-'Trial Balance'!L$27)</f>
        <v>0</v>
      </c>
      <c r="L15" s="23">
        <f>('Trial Balance'!N$27-'Trial Balance'!M$27)</f>
        <v>0</v>
      </c>
      <c r="M15" s="23">
        <f>('Trial Balance'!O$27-'Trial Balance'!N$27)</f>
        <v>0</v>
      </c>
      <c r="N15" s="16">
        <f t="shared" si="0"/>
        <v>0</v>
      </c>
    </row>
    <row r="16" spans="1:14" x14ac:dyDescent="0.25">
      <c r="A16" s="8" t="s">
        <v>323</v>
      </c>
      <c r="B16" s="23">
        <f>'Trial Balance'!D$28</f>
        <v>120000</v>
      </c>
      <c r="C16" s="23">
        <f>('Trial Balance'!E$28-'Trial Balance'!D$28)</f>
        <v>180000</v>
      </c>
      <c r="D16" s="23">
        <f>('Trial Balance'!F$28-'Trial Balance'!E$28)</f>
        <v>180000</v>
      </c>
      <c r="E16" s="23">
        <f>('Trial Balance'!G$28-'Trial Balance'!F$28)</f>
        <v>180000</v>
      </c>
      <c r="F16" s="23">
        <f>('Trial Balance'!H$28-'Trial Balance'!G$28)</f>
        <v>180000</v>
      </c>
      <c r="G16" s="23">
        <f>('Trial Balance'!I$28-'Trial Balance'!H$28)</f>
        <v>180000</v>
      </c>
      <c r="H16" s="23">
        <f>('Trial Balance'!J$28-'Trial Balance'!I$28)</f>
        <v>192000</v>
      </c>
      <c r="I16" s="23">
        <f>('Trial Balance'!K$28-'Trial Balance'!J$28)</f>
        <v>192000</v>
      </c>
      <c r="J16" s="23">
        <f>('Trial Balance'!L$28-'Trial Balance'!K$28)</f>
        <v>192000</v>
      </c>
      <c r="K16" s="23">
        <f>('Trial Balance'!M$28-'Trial Balance'!L$28)</f>
        <v>192000</v>
      </c>
      <c r="L16" s="23">
        <f>('Trial Balance'!N$28-'Trial Balance'!M$28)</f>
        <v>192000</v>
      </c>
      <c r="M16" s="23">
        <f>('Trial Balance'!O$28-'Trial Balance'!N$28)</f>
        <v>96000</v>
      </c>
      <c r="N16" s="16">
        <f t="shared" si="0"/>
        <v>2076000</v>
      </c>
    </row>
    <row r="17" spans="1:14" x14ac:dyDescent="0.25">
      <c r="A17" s="8" t="s">
        <v>324</v>
      </c>
      <c r="B17" s="23">
        <f>'Trial Balance'!D$29</f>
        <v>140000</v>
      </c>
      <c r="C17" s="23">
        <f>('Trial Balance'!E$29-'Trial Balance'!D$29)</f>
        <v>72000</v>
      </c>
      <c r="D17" s="23">
        <f>('Trial Balance'!F$29-'Trial Balance'!E$29)</f>
        <v>72000</v>
      </c>
      <c r="E17" s="23">
        <f>('Trial Balance'!G$29-'Trial Balance'!F$29)</f>
        <v>72000</v>
      </c>
      <c r="F17" s="23">
        <f>('Trial Balance'!H$29-'Trial Balance'!G$29)</f>
        <v>72000</v>
      </c>
      <c r="G17" s="23">
        <f>('Trial Balance'!I$29-'Trial Balance'!H$29)</f>
        <v>72000</v>
      </c>
      <c r="H17" s="23">
        <f>('Trial Balance'!J$29-'Trial Balance'!I$29)</f>
        <v>60000</v>
      </c>
      <c r="I17" s="23">
        <f>('Trial Balance'!K$29-'Trial Balance'!J$29)</f>
        <v>60000</v>
      </c>
      <c r="J17" s="23">
        <f>('Trial Balance'!L$29-'Trial Balance'!K$29)</f>
        <v>60000</v>
      </c>
      <c r="K17" s="23">
        <f>('Trial Balance'!M$29-'Trial Balance'!L$29)</f>
        <v>60000</v>
      </c>
      <c r="L17" s="23">
        <f>('Trial Balance'!N$29-'Trial Balance'!M$29)</f>
        <v>60000</v>
      </c>
      <c r="M17" s="23">
        <f>('Trial Balance'!O$29-'Trial Balance'!N$29)</f>
        <v>30000</v>
      </c>
      <c r="N17" s="16">
        <f t="shared" si="0"/>
        <v>830000</v>
      </c>
    </row>
    <row r="18" spans="1:14" x14ac:dyDescent="0.25">
      <c r="A18" s="8" t="s">
        <v>210</v>
      </c>
      <c r="B18" s="23">
        <f>'Trial Balance'!D$30</f>
        <v>180000</v>
      </c>
      <c r="C18" s="23">
        <f>('Trial Balance'!E$30-'Trial Balance'!D$30)</f>
        <v>250000</v>
      </c>
      <c r="D18" s="23">
        <f>('Trial Balance'!F$30-'Trial Balance'!E$30)</f>
        <v>250000</v>
      </c>
      <c r="E18" s="23">
        <f>('Trial Balance'!G$30-'Trial Balance'!F$30)</f>
        <v>250000</v>
      </c>
      <c r="F18" s="23">
        <f>('Trial Balance'!H$30-'Trial Balance'!G$30)</f>
        <v>250000</v>
      </c>
      <c r="G18" s="23">
        <f>('Trial Balance'!I$30-'Trial Balance'!H$30)</f>
        <v>250000</v>
      </c>
      <c r="H18" s="23">
        <f>('Trial Balance'!J$30-'Trial Balance'!I$30)</f>
        <v>220000</v>
      </c>
      <c r="I18" s="23">
        <f>('Trial Balance'!K$30-'Trial Balance'!J$30)</f>
        <v>220000</v>
      </c>
      <c r="J18" s="23">
        <f>('Trial Balance'!L$30-'Trial Balance'!K$30)</f>
        <v>220000</v>
      </c>
      <c r="K18" s="23">
        <f>('Trial Balance'!M$30-'Trial Balance'!L$30)</f>
        <v>220000</v>
      </c>
      <c r="L18" s="23">
        <f>('Trial Balance'!N$30-'Trial Balance'!M$30)</f>
        <v>220000</v>
      </c>
      <c r="M18" s="23">
        <f>('Trial Balance'!O$30-'Trial Balance'!N$30)</f>
        <v>110000</v>
      </c>
      <c r="N18" s="16">
        <f t="shared" si="0"/>
        <v>2640000</v>
      </c>
    </row>
    <row r="19" spans="1:14" x14ac:dyDescent="0.25">
      <c r="A19" s="8" t="s">
        <v>212</v>
      </c>
      <c r="B19" s="23">
        <f>'Trial Balance'!D$31</f>
        <v>20000</v>
      </c>
      <c r="C19" s="23">
        <f>('Trial Balance'!E$31-'Trial Balance'!D$31)</f>
        <v>30000</v>
      </c>
      <c r="D19" s="23">
        <f>('Trial Balance'!F$31-'Trial Balance'!E$31)</f>
        <v>30000</v>
      </c>
      <c r="E19" s="23">
        <f>('Trial Balance'!G$31-'Trial Balance'!F$31)</f>
        <v>30000</v>
      </c>
      <c r="F19" s="23">
        <f>('Trial Balance'!H$31-'Trial Balance'!G$31)</f>
        <v>30000</v>
      </c>
      <c r="G19" s="23">
        <f>('Trial Balance'!I$31-'Trial Balance'!H$31)</f>
        <v>30000</v>
      </c>
      <c r="H19" s="23">
        <f>('Trial Balance'!J$31-'Trial Balance'!I$31)</f>
        <v>30000</v>
      </c>
      <c r="I19" s="23">
        <f>('Trial Balance'!K$31-'Trial Balance'!J$31)</f>
        <v>30000</v>
      </c>
      <c r="J19" s="23">
        <f>('Trial Balance'!L$31-'Trial Balance'!K$31)</f>
        <v>30000</v>
      </c>
      <c r="K19" s="23">
        <f>('Trial Balance'!M$31-'Trial Balance'!L$31)</f>
        <v>30000</v>
      </c>
      <c r="L19" s="23">
        <f>('Trial Balance'!N$31-'Trial Balance'!M$31)</f>
        <v>30000</v>
      </c>
      <c r="M19" s="23">
        <f>('Trial Balance'!O$31-'Trial Balance'!N$31)</f>
        <v>15000</v>
      </c>
      <c r="N19" s="16">
        <f t="shared" si="0"/>
        <v>335000</v>
      </c>
    </row>
    <row r="20" spans="1:14" x14ac:dyDescent="0.25">
      <c r="A20" s="8" t="s">
        <v>325</v>
      </c>
      <c r="B20" s="23">
        <f>'Trial Balance'!D$32</f>
        <v>0</v>
      </c>
      <c r="C20" s="23">
        <f>('Trial Balance'!E$32-'Trial Balance'!D$32)</f>
        <v>0</v>
      </c>
      <c r="D20" s="23">
        <f>('Trial Balance'!F$32-'Trial Balance'!E$32)</f>
        <v>0</v>
      </c>
      <c r="E20" s="23">
        <f>('Trial Balance'!G$32-'Trial Balance'!F$32)</f>
        <v>0</v>
      </c>
      <c r="F20" s="23">
        <f>('Trial Balance'!H$32-'Trial Balance'!G$32)</f>
        <v>0</v>
      </c>
      <c r="G20" s="23">
        <f>('Trial Balance'!I$32-'Trial Balance'!H$32)</f>
        <v>0</v>
      </c>
      <c r="H20" s="23">
        <f>('Trial Balance'!J$32-'Trial Balance'!I$32)</f>
        <v>0</v>
      </c>
      <c r="I20" s="23">
        <f>('Trial Balance'!K$32-'Trial Balance'!J$32)</f>
        <v>0</v>
      </c>
      <c r="J20" s="23">
        <f>('Trial Balance'!L$32-'Trial Balance'!K$32)</f>
        <v>0</v>
      </c>
      <c r="K20" s="23">
        <f>('Trial Balance'!M$32-'Trial Balance'!L$32)</f>
        <v>0</v>
      </c>
      <c r="L20" s="23">
        <f>('Trial Balance'!N$32-'Trial Balance'!M$32)</f>
        <v>0</v>
      </c>
      <c r="M20" s="23">
        <f>('Trial Balance'!O$32-'Trial Balance'!N$32)</f>
        <v>0</v>
      </c>
      <c r="N20" s="16">
        <f t="shared" si="0"/>
        <v>0</v>
      </c>
    </row>
    <row r="21" spans="1:14" x14ac:dyDescent="0.25">
      <c r="A21" s="8" t="s">
        <v>216</v>
      </c>
      <c r="B21" s="23">
        <f>'Trial Balance'!D$33</f>
        <v>48000</v>
      </c>
      <c r="C21" s="23">
        <f>('Trial Balance'!E$33-'Trial Balance'!D$33)</f>
        <v>36000</v>
      </c>
      <c r="D21" s="23">
        <f>('Trial Balance'!F$33-'Trial Balance'!E$33)</f>
        <v>36000</v>
      </c>
      <c r="E21" s="23">
        <f>('Trial Balance'!G$33-'Trial Balance'!F$33)</f>
        <v>36000</v>
      </c>
      <c r="F21" s="23">
        <f>('Trial Balance'!H$33-'Trial Balance'!G$33)</f>
        <v>36000</v>
      </c>
      <c r="G21" s="23">
        <f>('Trial Balance'!I$33-'Trial Balance'!H$33)</f>
        <v>36000</v>
      </c>
      <c r="H21" s="23">
        <f>('Trial Balance'!J$33-'Trial Balance'!I$33)</f>
        <v>32000</v>
      </c>
      <c r="I21" s="23">
        <f>('Trial Balance'!K$33-'Trial Balance'!J$33)</f>
        <v>32000</v>
      </c>
      <c r="J21" s="23">
        <f>('Trial Balance'!L$33-'Trial Balance'!K$33)</f>
        <v>32000</v>
      </c>
      <c r="K21" s="23">
        <f>('Trial Balance'!M$33-'Trial Balance'!L$33)</f>
        <v>32000</v>
      </c>
      <c r="L21" s="23">
        <f>('Trial Balance'!N$33-'Trial Balance'!M$33)</f>
        <v>32000</v>
      </c>
      <c r="M21" s="23">
        <f>('Trial Balance'!O$33-'Trial Balance'!N$33)</f>
        <v>16000</v>
      </c>
      <c r="N21" s="16">
        <f t="shared" si="0"/>
        <v>404000</v>
      </c>
    </row>
    <row r="22" spans="1:14" x14ac:dyDescent="0.25">
      <c r="A22" s="7" t="s">
        <v>326</v>
      </c>
      <c r="B22" s="23">
        <f>'Trial Balance'!D$24+'Trial Balance'!D$25+'Trial Balance'!D$26+'Trial Balance'!D$27+'Trial Balance'!D$28+'Trial Balance'!D$29+'Trial Balance'!D$30+'Trial Balance'!D$31+'Trial Balance'!D$32+'Trial Balance'!D$33</f>
        <v>4308000</v>
      </c>
      <c r="C22" s="23">
        <f>('Trial Balance'!E$24-'Trial Balance'!D$24)+('Trial Balance'!E$25-'Trial Balance'!D$25)+('Trial Balance'!E$26-'Trial Balance'!D$26)+('Trial Balance'!E$27-'Trial Balance'!D$27)+('Trial Balance'!E$28-'Trial Balance'!D$28)+('Trial Balance'!E$29-'Trial Balance'!D$29)+('Trial Balance'!E$30-'Trial Balance'!D$30)+('Trial Balance'!E$31-'Trial Balance'!D$31)+('Trial Balance'!E$32-'Trial Balance'!D$32)+('Trial Balance'!E$33-'Trial Balance'!D$33)</f>
        <v>5118000</v>
      </c>
      <c r="D22" s="23">
        <f>('Trial Balance'!F$24-'Trial Balance'!E$24)+('Trial Balance'!F$25-'Trial Balance'!E$25)+('Trial Balance'!F$26-'Trial Balance'!E$26)+('Trial Balance'!F$27-'Trial Balance'!E$27)+('Trial Balance'!F$28-'Trial Balance'!E$28)+('Trial Balance'!F$29-'Trial Balance'!E$29)+('Trial Balance'!F$30-'Trial Balance'!E$30)+('Trial Balance'!F$31-'Trial Balance'!E$31)+('Trial Balance'!F$32-'Trial Balance'!E$32)+('Trial Balance'!F$33-'Trial Balance'!E$33)</f>
        <v>5118000</v>
      </c>
      <c r="E22" s="23">
        <f>('Trial Balance'!G$24-'Trial Balance'!F$24)+('Trial Balance'!G$25-'Trial Balance'!F$25)+('Trial Balance'!G$26-'Trial Balance'!F$26)+('Trial Balance'!G$27-'Trial Balance'!F$27)+('Trial Balance'!G$28-'Trial Balance'!F$28)+('Trial Balance'!G$29-'Trial Balance'!F$29)+('Trial Balance'!G$30-'Trial Balance'!F$30)+('Trial Balance'!G$31-'Trial Balance'!F$31)+('Trial Balance'!G$32-'Trial Balance'!F$32)+('Trial Balance'!G$33-'Trial Balance'!F$33)</f>
        <v>5068000</v>
      </c>
      <c r="F22" s="23">
        <f>('Trial Balance'!H$24-'Trial Balance'!G$24)+('Trial Balance'!H$25-'Trial Balance'!G$25)+('Trial Balance'!H$26-'Trial Balance'!G$26)+('Trial Balance'!H$27-'Trial Balance'!G$27)+('Trial Balance'!H$28-'Trial Balance'!G$28)+('Trial Balance'!H$29-'Trial Balance'!G$29)+('Trial Balance'!H$30-'Trial Balance'!G$30)+('Trial Balance'!H$31-'Trial Balance'!G$31)+('Trial Balance'!H$32-'Trial Balance'!G$32)+('Trial Balance'!H$33-'Trial Balance'!G$33)</f>
        <v>5068000</v>
      </c>
      <c r="G22" s="23">
        <f>('Trial Balance'!I$24-'Trial Balance'!H$24)+('Trial Balance'!I$25-'Trial Balance'!H$25)+('Trial Balance'!I$26-'Trial Balance'!H$26)+('Trial Balance'!I$27-'Trial Balance'!H$27)+('Trial Balance'!I$28-'Trial Balance'!H$28)+('Trial Balance'!I$29-'Trial Balance'!H$29)+('Trial Balance'!I$30-'Trial Balance'!H$30)+('Trial Balance'!I$31-'Trial Balance'!H$31)+('Trial Balance'!I$32-'Trial Balance'!H$32)+('Trial Balance'!I$33-'Trial Balance'!H$33)</f>
        <v>5218000</v>
      </c>
      <c r="H22" s="23">
        <f>('Trial Balance'!J$24-'Trial Balance'!I$24)+('Trial Balance'!J$25-'Trial Balance'!I$25)+('Trial Balance'!J$26-'Trial Balance'!I$26)+('Trial Balance'!J$27-'Trial Balance'!I$27)+('Trial Balance'!J$28-'Trial Balance'!I$28)+('Trial Balance'!J$29-'Trial Balance'!I$29)+('Trial Balance'!J$30-'Trial Balance'!I$30)+('Trial Balance'!J$31-'Trial Balance'!I$31)+('Trial Balance'!J$32-'Trial Balance'!I$32)+('Trial Balance'!J$33-'Trial Balance'!I$33)</f>
        <v>4044000</v>
      </c>
      <c r="I22" s="23">
        <f>('Trial Balance'!K$24-'Trial Balance'!J$24)+('Trial Balance'!K$25-'Trial Balance'!J$25)+('Trial Balance'!K$26-'Trial Balance'!J$26)+('Trial Balance'!K$27-'Trial Balance'!J$27)+('Trial Balance'!K$28-'Trial Balance'!J$28)+('Trial Balance'!K$29-'Trial Balance'!J$29)+('Trial Balance'!K$30-'Trial Balance'!J$30)+('Trial Balance'!K$31-'Trial Balance'!J$31)+('Trial Balance'!K$32-'Trial Balance'!J$32)+('Trial Balance'!K$33-'Trial Balance'!J$33)</f>
        <v>2654000</v>
      </c>
      <c r="J22" s="23">
        <f>('Trial Balance'!L$24-'Trial Balance'!K$24)+('Trial Balance'!L$25-'Trial Balance'!K$25)+('Trial Balance'!L$26-'Trial Balance'!K$26)+('Trial Balance'!L$27-'Trial Balance'!K$27)+('Trial Balance'!L$28-'Trial Balance'!K$28)+('Trial Balance'!L$29-'Trial Balance'!K$29)+('Trial Balance'!L$30-'Trial Balance'!K$30)+('Trial Balance'!L$31-'Trial Balance'!K$31)+('Trial Balance'!L$32-'Trial Balance'!K$32)+('Trial Balance'!L$33-'Trial Balance'!K$33)</f>
        <v>2129000</v>
      </c>
      <c r="K22" s="23">
        <f>('Trial Balance'!M$24-'Trial Balance'!L$24)+('Trial Balance'!M$25-'Trial Balance'!L$25)+('Trial Balance'!M$26-'Trial Balance'!L$26)+('Trial Balance'!M$27-'Trial Balance'!L$27)+('Trial Balance'!M$28-'Trial Balance'!L$28)+('Trial Balance'!M$29-'Trial Balance'!L$29)+('Trial Balance'!M$30-'Trial Balance'!L$30)+('Trial Balance'!M$31-'Trial Balance'!L$31)+('Trial Balance'!M$32-'Trial Balance'!L$32)+('Trial Balance'!M$33-'Trial Balance'!L$33)</f>
        <v>1409000</v>
      </c>
      <c r="L22" s="23">
        <f>('Trial Balance'!N$24-'Trial Balance'!M$24)+('Trial Balance'!N$25-'Trial Balance'!M$25)+('Trial Balance'!N$26-'Trial Balance'!M$26)+('Trial Balance'!N$27-'Trial Balance'!M$27)+('Trial Balance'!N$28-'Trial Balance'!M$28)+('Trial Balance'!N$29-'Trial Balance'!M$29)+('Trial Balance'!N$30-'Trial Balance'!M$30)+('Trial Balance'!N$31-'Trial Balance'!M$31)+('Trial Balance'!N$32-'Trial Balance'!M$32)+('Trial Balance'!N$33-'Trial Balance'!M$33)</f>
        <v>624000</v>
      </c>
      <c r="M22" s="23">
        <f>('Trial Balance'!O$24-'Trial Balance'!N$24)+('Trial Balance'!O$25-'Trial Balance'!N$25)+('Trial Balance'!O$26-'Trial Balance'!N$26)+('Trial Balance'!O$27-'Trial Balance'!N$27)+('Trial Balance'!O$28-'Trial Balance'!N$28)+('Trial Balance'!O$29-'Trial Balance'!N$29)+('Trial Balance'!O$30-'Trial Balance'!N$30)+('Trial Balance'!O$31-'Trial Balance'!N$31)+('Trial Balance'!O$32-'Trial Balance'!N$32)+('Trial Balance'!O$33-'Trial Balance'!N$33)</f>
        <v>267000</v>
      </c>
      <c r="N22" s="16">
        <f t="shared" si="0"/>
        <v>41025000</v>
      </c>
    </row>
    <row r="23" spans="1:14" x14ac:dyDescent="0.25">
      <c r="A23" s="7" t="s">
        <v>327</v>
      </c>
      <c r="B23" s="16">
        <f t="shared" ref="B23:N23" si="1">B9-B22</f>
        <v>-4308000</v>
      </c>
      <c r="C23" s="16">
        <f t="shared" si="1"/>
        <v>-5118000</v>
      </c>
      <c r="D23" s="16">
        <f t="shared" si="1"/>
        <v>-5118000</v>
      </c>
      <c r="E23" s="16">
        <f t="shared" si="1"/>
        <v>-3769822</v>
      </c>
      <c r="F23" s="16">
        <f t="shared" si="1"/>
        <v>-3147943.89</v>
      </c>
      <c r="G23" s="16">
        <f t="shared" si="1"/>
        <v>-3056959.93</v>
      </c>
      <c r="H23" s="16">
        <f t="shared" si="1"/>
        <v>-1611730.3599999994</v>
      </c>
      <c r="I23" s="16">
        <f t="shared" si="1"/>
        <v>83540.890000000596</v>
      </c>
      <c r="J23" s="16">
        <f t="shared" si="1"/>
        <v>952126.41000000015</v>
      </c>
      <c r="K23" s="16">
        <f t="shared" si="1"/>
        <v>1153066.58</v>
      </c>
      <c r="L23" s="16">
        <f t="shared" si="1"/>
        <v>-624000</v>
      </c>
      <c r="M23" s="16">
        <f t="shared" si="1"/>
        <v>-267000</v>
      </c>
      <c r="N23" s="16">
        <f t="shared" si="1"/>
        <v>-24832722.299999997</v>
      </c>
    </row>
    <row r="25" spans="1:14" x14ac:dyDescent="0.25">
      <c r="A25" s="6" t="s">
        <v>328</v>
      </c>
    </row>
    <row r="26" spans="1:14" x14ac:dyDescent="0.25">
      <c r="A26" s="8" t="s">
        <v>329</v>
      </c>
      <c r="B26" s="23">
        <f>-('Trial Balance'!D$34)</f>
        <v>0</v>
      </c>
      <c r="C26" s="23">
        <f>-(('Trial Balance'!E$34-'Trial Balance'!D$34))</f>
        <v>0</v>
      </c>
      <c r="D26" s="23">
        <f>-(('Trial Balance'!F$34-'Trial Balance'!E$34))</f>
        <v>0</v>
      </c>
      <c r="E26" s="23">
        <f>-(('Trial Balance'!G$34-'Trial Balance'!F$34))</f>
        <v>0</v>
      </c>
      <c r="F26" s="23">
        <f>-(('Trial Balance'!H$34-'Trial Balance'!G$34))</f>
        <v>0</v>
      </c>
      <c r="G26" s="23">
        <f>-(('Trial Balance'!I$34-'Trial Balance'!H$34))</f>
        <v>68000000</v>
      </c>
      <c r="H26" s="23">
        <f>-(('Trial Balance'!J$34-'Trial Balance'!I$34))</f>
        <v>4800000</v>
      </c>
      <c r="I26" s="23">
        <f>-(('Trial Balance'!K$34-'Trial Balance'!J$34))</f>
        <v>0</v>
      </c>
      <c r="J26" s="23">
        <f>-(('Trial Balance'!L$34-'Trial Balance'!K$34))</f>
        <v>57000000</v>
      </c>
      <c r="K26" s="23">
        <f>-(('Trial Balance'!M$34-'Trial Balance'!L$34))</f>
        <v>51000000</v>
      </c>
      <c r="L26" s="23">
        <f>-(('Trial Balance'!N$34-'Trial Balance'!M$34))</f>
        <v>44000000</v>
      </c>
      <c r="M26" s="23">
        <f>-(('Trial Balance'!O$34-'Trial Balance'!N$34))</f>
        <v>0</v>
      </c>
      <c r="N26" s="16">
        <f>SUM(B26:M26)</f>
        <v>224800000</v>
      </c>
    </row>
    <row r="27" spans="1:14" x14ac:dyDescent="0.25">
      <c r="A27" s="8" t="s">
        <v>330</v>
      </c>
      <c r="B27" s="23">
        <f>-('Trial Balance'!D$35)</f>
        <v>1500000</v>
      </c>
      <c r="C27" s="23">
        <f>-(('Trial Balance'!E$35-'Trial Balance'!D$35))</f>
        <v>7500000</v>
      </c>
      <c r="D27" s="23">
        <f>-(('Trial Balance'!F$35-'Trial Balance'!E$35))</f>
        <v>30000000</v>
      </c>
      <c r="E27" s="23">
        <f>-(('Trial Balance'!G$35-'Trial Balance'!F$35))</f>
        <v>-4000000</v>
      </c>
      <c r="F27" s="23">
        <f>-(('Trial Balance'!H$35-'Trial Balance'!G$35))</f>
        <v>31000000</v>
      </c>
      <c r="G27" s="23">
        <f>-(('Trial Balance'!I$35-'Trial Balance'!H$35))</f>
        <v>-15000000</v>
      </c>
      <c r="H27" s="23">
        <f>-(('Trial Balance'!J$35-'Trial Balance'!I$35))</f>
        <v>11500000</v>
      </c>
      <c r="I27" s="23">
        <f>-(('Trial Balance'!K$35-'Trial Balance'!J$35))</f>
        <v>15500000</v>
      </c>
      <c r="J27" s="23">
        <f>-(('Trial Balance'!L$35-'Trial Balance'!K$35))</f>
        <v>-14000000</v>
      </c>
      <c r="K27" s="23">
        <f>-(('Trial Balance'!M$35-'Trial Balance'!L$35))</f>
        <v>-36000000</v>
      </c>
      <c r="L27" s="23">
        <f>-(('Trial Balance'!N$35-'Trial Balance'!M$35))</f>
        <v>-28000000</v>
      </c>
      <c r="M27" s="23">
        <f>-(('Trial Balance'!O$35-'Trial Balance'!N$35))</f>
        <v>0</v>
      </c>
      <c r="N27" s="16">
        <f>SUM(B27:M27)</f>
        <v>0</v>
      </c>
    </row>
    <row r="28" spans="1:14" x14ac:dyDescent="0.25">
      <c r="A28" s="24" t="s">
        <v>331</v>
      </c>
      <c r="B28" s="16">
        <f t="shared" ref="B28:N28" si="2">B23+B26+B27</f>
        <v>-2808000</v>
      </c>
      <c r="C28" s="16">
        <f t="shared" si="2"/>
        <v>2382000</v>
      </c>
      <c r="D28" s="16">
        <f t="shared" si="2"/>
        <v>24882000</v>
      </c>
      <c r="E28" s="16">
        <f t="shared" si="2"/>
        <v>-7769822</v>
      </c>
      <c r="F28" s="16">
        <f t="shared" si="2"/>
        <v>27852056.109999999</v>
      </c>
      <c r="G28" s="16">
        <f t="shared" si="2"/>
        <v>49943040.07</v>
      </c>
      <c r="H28" s="16">
        <f t="shared" si="2"/>
        <v>14688269.640000001</v>
      </c>
      <c r="I28" s="16">
        <f t="shared" si="2"/>
        <v>15583540.890000001</v>
      </c>
      <c r="J28" s="16">
        <f t="shared" si="2"/>
        <v>43952126.409999996</v>
      </c>
      <c r="K28" s="16">
        <f t="shared" si="2"/>
        <v>16153066.579999998</v>
      </c>
      <c r="L28" s="16">
        <f t="shared" si="2"/>
        <v>15376000</v>
      </c>
      <c r="M28" s="16">
        <f t="shared" si="2"/>
        <v>-267000</v>
      </c>
      <c r="N28" s="16">
        <f t="shared" si="2"/>
        <v>199967277.69999999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3"/>
  <sheetViews>
    <sheetView workbookViewId="0"/>
  </sheetViews>
  <sheetFormatPr defaultRowHeight="15" x14ac:dyDescent="0.25"/>
  <cols>
    <col min="1" max="1" width="52" customWidth="1"/>
    <col min="2" max="14" width="16" customWidth="1"/>
  </cols>
  <sheetData>
    <row r="1" spans="1:14" ht="18" customHeight="1" x14ac:dyDescent="0.25">
      <c r="A1" s="9" t="s">
        <v>332</v>
      </c>
    </row>
    <row r="4" spans="1:14" ht="30" customHeight="1" x14ac:dyDescent="0.25">
      <c r="A4" s="5" t="s">
        <v>307</v>
      </c>
      <c r="B4" s="5" t="s">
        <v>290</v>
      </c>
      <c r="C4" s="5" t="s">
        <v>291</v>
      </c>
      <c r="D4" s="5" t="s">
        <v>292</v>
      </c>
      <c r="E4" s="5" t="s">
        <v>293</v>
      </c>
      <c r="F4" s="5" t="s">
        <v>294</v>
      </c>
      <c r="G4" s="5" t="s">
        <v>295</v>
      </c>
      <c r="H4" s="5" t="s">
        <v>296</v>
      </c>
      <c r="I4" s="5" t="s">
        <v>297</v>
      </c>
      <c r="J4" s="5" t="s">
        <v>298</v>
      </c>
      <c r="K4" s="5" t="s">
        <v>299</v>
      </c>
      <c r="L4" s="5" t="s">
        <v>300</v>
      </c>
      <c r="M4" s="5" t="s">
        <v>301</v>
      </c>
      <c r="N4" s="5" t="s">
        <v>315</v>
      </c>
    </row>
    <row r="5" spans="1:14" x14ac:dyDescent="0.25">
      <c r="A5" s="8" t="s">
        <v>333</v>
      </c>
      <c r="B5" s="12">
        <v>0</v>
      </c>
      <c r="C5" s="25">
        <f>'Balance Sheet'!B21</f>
        <v>43792000</v>
      </c>
      <c r="D5" s="25">
        <f>'Balance Sheet'!C21</f>
        <v>106274000</v>
      </c>
      <c r="E5" s="25">
        <f>'Balance Sheet'!D21</f>
        <v>186056000</v>
      </c>
      <c r="F5" s="25">
        <f>'Balance Sheet'!E21</f>
        <v>209086178</v>
      </c>
      <c r="G5" s="25">
        <f>'Balance Sheet'!F21</f>
        <v>250538234.11000001</v>
      </c>
      <c r="H5" s="25">
        <f>'Balance Sheet'!G21</f>
        <v>188081274.18000004</v>
      </c>
      <c r="I5" s="25">
        <f>'Balance Sheet'!H21</f>
        <v>178069543.82000002</v>
      </c>
      <c r="J5" s="25">
        <f>'Balance Sheet'!I21</f>
        <v>194853084.71000004</v>
      </c>
      <c r="K5" s="25">
        <f>'Balance Sheet'!J21</f>
        <v>150705211.12000003</v>
      </c>
      <c r="L5" s="25">
        <f>'Balance Sheet'!K21</f>
        <v>49058277.700000033</v>
      </c>
      <c r="M5" s="25">
        <f>'Balance Sheet'!L21</f>
        <v>2734277.7000000291</v>
      </c>
      <c r="N5" s="11">
        <v>0</v>
      </c>
    </row>
    <row r="6" spans="1:14" x14ac:dyDescent="0.25">
      <c r="A6" s="8" t="s">
        <v>334</v>
      </c>
      <c r="B6" s="23">
        <f>-('Trial Balance'!D$17)</f>
        <v>47500000</v>
      </c>
      <c r="C6" s="23">
        <f>-(('Trial Balance'!E$17-'Trial Balance'!D$17))</f>
        <v>60100000</v>
      </c>
      <c r="D6" s="23">
        <f>-(('Trial Balance'!F$17-'Trial Balance'!E$17))</f>
        <v>54900000</v>
      </c>
      <c r="E6" s="23">
        <f>-(('Trial Balance'!G$17-'Trial Balance'!F$17))</f>
        <v>30800000</v>
      </c>
      <c r="F6" s="23">
        <f>-(('Trial Balance'!H$17-'Trial Balance'!G$17))</f>
        <v>13600000</v>
      </c>
      <c r="G6" s="23">
        <f>-(('Trial Balance'!I$17-'Trial Balance'!H$17))</f>
        <v>2800000</v>
      </c>
      <c r="H6" s="23">
        <f>-(('Trial Balance'!J$17-'Trial Balance'!I$17))</f>
        <v>1300000</v>
      </c>
      <c r="I6" s="23">
        <f>-(('Trial Balance'!K$17-'Trial Balance'!J$17))</f>
        <v>1200000</v>
      </c>
      <c r="J6" s="23">
        <f>-(('Trial Balance'!L$17-'Trial Balance'!K$17))</f>
        <v>1100000</v>
      </c>
      <c r="K6" s="23">
        <f>-(('Trial Balance'!M$17-'Trial Balance'!L$17))</f>
        <v>0</v>
      </c>
      <c r="L6" s="23">
        <f>-(('Trial Balance'!N$17-'Trial Balance'!M$17))</f>
        <v>0</v>
      </c>
      <c r="M6" s="23">
        <f>-(('Trial Balance'!O$17-'Trial Balance'!N$17))</f>
        <v>0</v>
      </c>
      <c r="N6" s="16">
        <f>SUM(B6:M6)</f>
        <v>213300000</v>
      </c>
    </row>
    <row r="7" spans="1:14" x14ac:dyDescent="0.25">
      <c r="A7" s="8" t="s">
        <v>335</v>
      </c>
      <c r="B7" s="23">
        <f>-('Trial Balance'!D$18)</f>
        <v>-900000</v>
      </c>
      <c r="C7" s="23">
        <f>-(('Trial Balance'!E$18-'Trial Balance'!D$18))</f>
        <v>0</v>
      </c>
      <c r="D7" s="23">
        <f>-(('Trial Balance'!F$18-'Trial Balance'!E$18))</f>
        <v>0</v>
      </c>
      <c r="E7" s="23">
        <f>-(('Trial Balance'!G$18-'Trial Balance'!F$18))</f>
        <v>0</v>
      </c>
      <c r="F7" s="23">
        <f>-(('Trial Balance'!H$18-'Trial Balance'!G$18))</f>
        <v>0</v>
      </c>
      <c r="G7" s="23">
        <f>-(('Trial Balance'!I$18-'Trial Balance'!H$18))</f>
        <v>0</v>
      </c>
      <c r="H7" s="23">
        <f>-(('Trial Balance'!J$18-'Trial Balance'!I$18))</f>
        <v>0</v>
      </c>
      <c r="I7" s="23">
        <f>-(('Trial Balance'!K$18-'Trial Balance'!J$18))</f>
        <v>0</v>
      </c>
      <c r="J7" s="23">
        <f>-(('Trial Balance'!L$18-'Trial Balance'!K$18))</f>
        <v>0</v>
      </c>
      <c r="K7" s="23">
        <f>-(('Trial Balance'!M$18-'Trial Balance'!L$18))</f>
        <v>0</v>
      </c>
      <c r="L7" s="23">
        <f>-(('Trial Balance'!N$18-'Trial Balance'!M$18))</f>
        <v>0</v>
      </c>
      <c r="M7" s="23">
        <f>-(('Trial Balance'!O$18-'Trial Balance'!N$18))</f>
        <v>0</v>
      </c>
      <c r="N7" s="16">
        <f>SUM(B7:M7)</f>
        <v>-900000</v>
      </c>
    </row>
    <row r="8" spans="1:14" x14ac:dyDescent="0.25">
      <c r="A8" s="8" t="s">
        <v>336</v>
      </c>
      <c r="B8" s="23">
        <f>-('Trial Balance'!D$19)</f>
        <v>0</v>
      </c>
      <c r="C8" s="23">
        <f>-(('Trial Balance'!E$19-'Trial Balance'!D$19))</f>
        <v>0</v>
      </c>
      <c r="D8" s="23">
        <f>-(('Trial Balance'!F$19-'Trial Balance'!E$19))</f>
        <v>0</v>
      </c>
      <c r="E8" s="23">
        <f>-(('Trial Balance'!G$19-'Trial Balance'!F$19))</f>
        <v>0</v>
      </c>
      <c r="F8" s="23">
        <f>-(('Trial Balance'!H$19-'Trial Balance'!G$19))</f>
        <v>0</v>
      </c>
      <c r="G8" s="23">
        <f>-(('Trial Balance'!I$19-'Trial Balance'!H$19))</f>
        <v>-115200000</v>
      </c>
      <c r="H8" s="23">
        <f>-(('Trial Balance'!J$19-'Trial Balance'!I$19))</f>
        <v>-26000000</v>
      </c>
      <c r="I8" s="23">
        <f>-(('Trial Balance'!K$19-'Trial Balance'!J$19))</f>
        <v>0</v>
      </c>
      <c r="J8" s="23">
        <f>-(('Trial Balance'!L$19-'Trial Balance'!K$19))</f>
        <v>-89200000</v>
      </c>
      <c r="K8" s="23">
        <f>-(('Trial Balance'!M$19-'Trial Balance'!L$19))</f>
        <v>-117800000</v>
      </c>
      <c r="L8" s="23">
        <f>-(('Trial Balance'!N$19-'Trial Balance'!M$19))</f>
        <v>-61700000</v>
      </c>
      <c r="M8" s="23">
        <f>-(('Trial Balance'!O$19-'Trial Balance'!N$19))</f>
        <v>-2467277.6999999881</v>
      </c>
      <c r="N8" s="16">
        <f>SUM(B8:M8)</f>
        <v>-412367277.69999999</v>
      </c>
    </row>
    <row r="9" spans="1:14" x14ac:dyDescent="0.25">
      <c r="A9" s="8" t="s">
        <v>337</v>
      </c>
      <c r="B9" s="25">
        <f>'Income Statement'!B28</f>
        <v>-2808000</v>
      </c>
      <c r="C9" s="25">
        <f>'Income Statement'!C28</f>
        <v>2382000</v>
      </c>
      <c r="D9" s="25">
        <f>'Income Statement'!D28</f>
        <v>24882000</v>
      </c>
      <c r="E9" s="25">
        <f>'Income Statement'!E28</f>
        <v>-7769822</v>
      </c>
      <c r="F9" s="25">
        <f>'Income Statement'!F28</f>
        <v>27852056.109999999</v>
      </c>
      <c r="G9" s="25">
        <f>'Income Statement'!G28</f>
        <v>49943040.07</v>
      </c>
      <c r="H9" s="25">
        <f>'Income Statement'!H28</f>
        <v>14688269.640000001</v>
      </c>
      <c r="I9" s="25">
        <f>'Income Statement'!I28</f>
        <v>15583540.890000001</v>
      </c>
      <c r="J9" s="25">
        <f>'Income Statement'!J28</f>
        <v>43952126.409999996</v>
      </c>
      <c r="K9" s="25">
        <f>'Income Statement'!K28</f>
        <v>16153066.579999998</v>
      </c>
      <c r="L9" s="25">
        <f>'Income Statement'!L28</f>
        <v>15376000</v>
      </c>
      <c r="M9" s="25">
        <f>'Income Statement'!M28</f>
        <v>-267000</v>
      </c>
      <c r="N9" s="25">
        <f>'Income Statement'!N28</f>
        <v>199967277.69999999</v>
      </c>
    </row>
    <row r="10" spans="1:14" x14ac:dyDescent="0.25">
      <c r="A10" s="24" t="s">
        <v>338</v>
      </c>
      <c r="B10" s="16">
        <f t="shared" ref="B10:M10" si="0">B5+B6+B7+B8+B9</f>
        <v>43792000</v>
      </c>
      <c r="C10" s="16">
        <f t="shared" si="0"/>
        <v>106274000</v>
      </c>
      <c r="D10" s="16">
        <f t="shared" si="0"/>
        <v>186056000</v>
      </c>
      <c r="E10" s="16">
        <f t="shared" si="0"/>
        <v>209086178</v>
      </c>
      <c r="F10" s="16">
        <f t="shared" si="0"/>
        <v>250538234.11000001</v>
      </c>
      <c r="G10" s="16">
        <f t="shared" si="0"/>
        <v>188081274.18000001</v>
      </c>
      <c r="H10" s="16">
        <f t="shared" si="0"/>
        <v>178069543.82000005</v>
      </c>
      <c r="I10" s="16">
        <f t="shared" si="0"/>
        <v>194853084.71000004</v>
      </c>
      <c r="J10" s="16">
        <f t="shared" si="0"/>
        <v>150705211.12000003</v>
      </c>
      <c r="K10" s="16">
        <f t="shared" si="0"/>
        <v>49058277.700000033</v>
      </c>
      <c r="L10" s="16">
        <f t="shared" si="0"/>
        <v>2734277.7000000328</v>
      </c>
      <c r="M10" s="16">
        <f t="shared" si="0"/>
        <v>4.0978193283081055E-8</v>
      </c>
    </row>
    <row r="12" spans="1:14" x14ac:dyDescent="0.25">
      <c r="A12" s="26" t="s">
        <v>339</v>
      </c>
      <c r="B12" s="25">
        <f>'Balance Sheet'!B21</f>
        <v>43792000</v>
      </c>
      <c r="C12" s="25">
        <f>'Balance Sheet'!C21</f>
        <v>106274000</v>
      </c>
      <c r="D12" s="25">
        <f>'Balance Sheet'!D21</f>
        <v>186056000</v>
      </c>
      <c r="E12" s="25">
        <f>'Balance Sheet'!E21</f>
        <v>209086178</v>
      </c>
      <c r="F12" s="25">
        <f>'Balance Sheet'!F21</f>
        <v>250538234.11000001</v>
      </c>
      <c r="G12" s="25">
        <f>'Balance Sheet'!G21</f>
        <v>188081274.18000004</v>
      </c>
      <c r="H12" s="25">
        <f>'Balance Sheet'!H21</f>
        <v>178069543.82000002</v>
      </c>
      <c r="I12" s="25">
        <f>'Balance Sheet'!I21</f>
        <v>194853084.71000004</v>
      </c>
      <c r="J12" s="25">
        <f>'Balance Sheet'!J21</f>
        <v>150705211.12000003</v>
      </c>
      <c r="K12" s="25">
        <f>'Balance Sheet'!K21</f>
        <v>49058277.700000033</v>
      </c>
      <c r="L12" s="25">
        <f>'Balance Sheet'!L21</f>
        <v>2734277.7000000291</v>
      </c>
      <c r="M12" s="25">
        <f>'Balance Sheet'!M21</f>
        <v>2.8870999813079834E-8</v>
      </c>
    </row>
    <row r="13" spans="1:14" x14ac:dyDescent="0.25">
      <c r="A13" s="7" t="s">
        <v>340</v>
      </c>
      <c r="B13" s="21">
        <f t="shared" ref="B13:M13" si="1">B10-B12</f>
        <v>0</v>
      </c>
      <c r="C13" s="21">
        <f t="shared" si="1"/>
        <v>0</v>
      </c>
      <c r="D13" s="21">
        <f t="shared" si="1"/>
        <v>0</v>
      </c>
      <c r="E13" s="21">
        <f t="shared" si="1"/>
        <v>0</v>
      </c>
      <c r="F13" s="21">
        <f t="shared" si="1"/>
        <v>0</v>
      </c>
      <c r="G13" s="21">
        <f t="shared" si="1"/>
        <v>0</v>
      </c>
      <c r="H13" s="21">
        <f t="shared" si="1"/>
        <v>0</v>
      </c>
      <c r="I13" s="21">
        <f t="shared" si="1"/>
        <v>0</v>
      </c>
      <c r="J13" s="21">
        <f t="shared" si="1"/>
        <v>0</v>
      </c>
      <c r="K13" s="21">
        <f t="shared" si="1"/>
        <v>0</v>
      </c>
      <c r="L13" s="21">
        <f t="shared" si="1"/>
        <v>3.7252902984619141E-9</v>
      </c>
      <c r="M13" s="21">
        <f t="shared" si="1"/>
        <v>1.2107193470001221E-8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1"/>
  <sheetViews>
    <sheetView workbookViewId="0"/>
  </sheetViews>
  <sheetFormatPr defaultRowHeight="15" x14ac:dyDescent="0.25"/>
  <cols>
    <col min="1" max="1" width="56" customWidth="1"/>
    <col min="2" max="13" width="16" customWidth="1"/>
  </cols>
  <sheetData>
    <row r="1" spans="1:13" ht="18" customHeight="1" x14ac:dyDescent="0.25">
      <c r="A1" s="9" t="s">
        <v>341</v>
      </c>
    </row>
    <row r="2" spans="1:13" x14ac:dyDescent="0.25">
      <c r="A2" s="10" t="s">
        <v>342</v>
      </c>
    </row>
    <row r="4" spans="1:13" x14ac:dyDescent="0.25">
      <c r="A4" s="5" t="s">
        <v>307</v>
      </c>
      <c r="B4" s="5" t="s">
        <v>290</v>
      </c>
      <c r="C4" s="5" t="s">
        <v>291</v>
      </c>
      <c r="D4" s="5" t="s">
        <v>292</v>
      </c>
      <c r="E4" s="5" t="s">
        <v>293</v>
      </c>
      <c r="F4" s="5" t="s">
        <v>294</v>
      </c>
      <c r="G4" s="5" t="s">
        <v>295</v>
      </c>
      <c r="H4" s="5" t="s">
        <v>296</v>
      </c>
      <c r="I4" s="5" t="s">
        <v>297</v>
      </c>
      <c r="J4" s="5" t="s">
        <v>298</v>
      </c>
      <c r="K4" s="5" t="s">
        <v>299</v>
      </c>
      <c r="L4" s="5" t="s">
        <v>300</v>
      </c>
      <c r="M4" s="5" t="s">
        <v>301</v>
      </c>
    </row>
    <row r="5" spans="1:13" x14ac:dyDescent="0.25">
      <c r="A5" s="6" t="s">
        <v>343</v>
      </c>
      <c r="B5" s="23"/>
      <c r="C5" s="23"/>
      <c r="D5" s="23"/>
      <c r="E5" s="23"/>
      <c r="F5" s="23"/>
      <c r="G5" s="23"/>
      <c r="H5" s="23"/>
      <c r="I5" s="23"/>
      <c r="J5" s="23"/>
      <c r="K5" s="23"/>
      <c r="L5" s="23"/>
      <c r="M5" s="23"/>
    </row>
    <row r="6" spans="1:13" x14ac:dyDescent="0.25">
      <c r="A6" s="8" t="s">
        <v>344</v>
      </c>
      <c r="B6" s="23">
        <f>'Income Statement'!B28</f>
        <v>-2808000</v>
      </c>
      <c r="C6" s="23">
        <f>'Income Statement'!C28</f>
        <v>2382000</v>
      </c>
      <c r="D6" s="23">
        <f>'Income Statement'!D28</f>
        <v>24882000</v>
      </c>
      <c r="E6" s="23">
        <f>'Income Statement'!E28</f>
        <v>-7769822</v>
      </c>
      <c r="F6" s="23">
        <f>'Income Statement'!F28</f>
        <v>27852056.109999999</v>
      </c>
      <c r="G6" s="23">
        <f>'Income Statement'!G28</f>
        <v>49943040.07</v>
      </c>
      <c r="H6" s="23">
        <f>'Income Statement'!H28</f>
        <v>14688269.640000001</v>
      </c>
      <c r="I6" s="23">
        <f>'Income Statement'!I28</f>
        <v>15583540.890000001</v>
      </c>
      <c r="J6" s="23">
        <f>'Income Statement'!J28</f>
        <v>43952126.409999996</v>
      </c>
      <c r="K6" s="23">
        <f>'Income Statement'!K28</f>
        <v>16153066.579999998</v>
      </c>
      <c r="L6" s="23">
        <f>'Income Statement'!L28</f>
        <v>15376000</v>
      </c>
      <c r="M6" s="23">
        <f>'Income Statement'!M28</f>
        <v>-267000</v>
      </c>
    </row>
    <row r="7" spans="1:13" x14ac:dyDescent="0.25">
      <c r="A7" s="8" t="s">
        <v>345</v>
      </c>
      <c r="B7" s="23"/>
      <c r="C7" s="23"/>
      <c r="D7" s="23"/>
      <c r="E7" s="23"/>
      <c r="F7" s="23"/>
      <c r="G7" s="23"/>
      <c r="H7" s="23"/>
      <c r="I7" s="23"/>
      <c r="J7" s="23"/>
      <c r="K7" s="23"/>
      <c r="L7" s="23"/>
      <c r="M7" s="23"/>
    </row>
    <row r="8" spans="1:13" x14ac:dyDescent="0.25">
      <c r="A8" s="8" t="s">
        <v>346</v>
      </c>
      <c r="B8" s="23">
        <f>-'Income Statement'!B26</f>
        <v>0</v>
      </c>
      <c r="C8" s="23">
        <f>-'Income Statement'!C26</f>
        <v>0</v>
      </c>
      <c r="D8" s="23">
        <f>-'Income Statement'!D26</f>
        <v>0</v>
      </c>
      <c r="E8" s="23">
        <f>-'Income Statement'!E26</f>
        <v>0</v>
      </c>
      <c r="F8" s="23">
        <f>-'Income Statement'!F26</f>
        <v>0</v>
      </c>
      <c r="G8" s="23">
        <f>-'Income Statement'!G26</f>
        <v>-68000000</v>
      </c>
      <c r="H8" s="23">
        <f>-'Income Statement'!H26</f>
        <v>-4800000</v>
      </c>
      <c r="I8" s="23">
        <f>-'Income Statement'!I26</f>
        <v>0</v>
      </c>
      <c r="J8" s="23">
        <f>-'Income Statement'!J26</f>
        <v>-57000000</v>
      </c>
      <c r="K8" s="23">
        <f>-'Income Statement'!K26</f>
        <v>-51000000</v>
      </c>
      <c r="L8" s="23">
        <f>-'Income Statement'!L26</f>
        <v>-44000000</v>
      </c>
      <c r="M8" s="23">
        <f>-'Income Statement'!M26</f>
        <v>0</v>
      </c>
    </row>
    <row r="9" spans="1:13" x14ac:dyDescent="0.25">
      <c r="A9" s="8" t="s">
        <v>347</v>
      </c>
      <c r="B9" s="23">
        <f>-'Income Statement'!B27</f>
        <v>-1500000</v>
      </c>
      <c r="C9" s="23">
        <f>-'Income Statement'!C27</f>
        <v>-7500000</v>
      </c>
      <c r="D9" s="23">
        <f>-'Income Statement'!D27</f>
        <v>-30000000</v>
      </c>
      <c r="E9" s="23">
        <f>-'Income Statement'!E27</f>
        <v>4000000</v>
      </c>
      <c r="F9" s="23">
        <f>-'Income Statement'!F27</f>
        <v>-31000000</v>
      </c>
      <c r="G9" s="23">
        <f>-'Income Statement'!G27</f>
        <v>15000000</v>
      </c>
      <c r="H9" s="23">
        <f>-'Income Statement'!H27</f>
        <v>-11500000</v>
      </c>
      <c r="I9" s="23">
        <f>-'Income Statement'!I27</f>
        <v>-15500000</v>
      </c>
      <c r="J9" s="23">
        <f>-'Income Statement'!J27</f>
        <v>14000000</v>
      </c>
      <c r="K9" s="23">
        <f>-'Income Statement'!K27</f>
        <v>36000000</v>
      </c>
      <c r="L9" s="23">
        <f>-'Income Statement'!L27</f>
        <v>28000000</v>
      </c>
      <c r="M9" s="23">
        <f>-'Income Statement'!M27</f>
        <v>0</v>
      </c>
    </row>
    <row r="10" spans="1:13" x14ac:dyDescent="0.25">
      <c r="A10" s="8" t="s">
        <v>348</v>
      </c>
      <c r="B10" s="23">
        <f>-'Income Statement'!B6</f>
        <v>0</v>
      </c>
      <c r="C10" s="23">
        <f>-'Income Statement'!C6</f>
        <v>0</v>
      </c>
      <c r="D10" s="23">
        <f>-'Income Statement'!D6</f>
        <v>0</v>
      </c>
      <c r="E10" s="23">
        <f>-'Income Statement'!E6</f>
        <v>-1298178</v>
      </c>
      <c r="F10" s="23">
        <f>-'Income Statement'!F6</f>
        <v>-1920056.1099999999</v>
      </c>
      <c r="G10" s="23">
        <f>-'Income Statement'!G6</f>
        <v>-2161040.0699999998</v>
      </c>
      <c r="H10" s="23">
        <f>-'Income Statement'!H6</f>
        <v>-2432269.6400000006</v>
      </c>
      <c r="I10" s="23">
        <f>-'Income Statement'!I6</f>
        <v>-2737540.8900000006</v>
      </c>
      <c r="J10" s="23">
        <f>-'Income Statement'!J6</f>
        <v>-3081126.41</v>
      </c>
      <c r="K10" s="23">
        <f>-'Income Statement'!K6</f>
        <v>-2562066.58</v>
      </c>
      <c r="L10" s="23">
        <f>-'Income Statement'!L6</f>
        <v>0</v>
      </c>
      <c r="M10" s="23">
        <f>-'Income Statement'!M6</f>
        <v>0</v>
      </c>
    </row>
    <row r="11" spans="1:13" x14ac:dyDescent="0.25">
      <c r="A11" s="8" t="s">
        <v>349</v>
      </c>
      <c r="B11" s="23">
        <f>-(SUMIFS('Journal Entries'!$G$5:$G$785,'Journal Entries'!$D$5:$D$785,"1100",'Journal Entries'!$C$5:$C$785,"2019*",'Journal Entries'!$F$5:$F$785,"&lt;&gt;3.1 bridge conversion",'Journal Entries'!$F$5:$F$785,"&lt;&gt;3.1 PIK capitalisation")+SUMIFS('Journal Entries'!$G$5:$G$785,'Journal Entries'!$D$5:$D$785,"1150",'Journal Entries'!$C$5:$C$785,"2019*"))</f>
        <v>-42000000</v>
      </c>
      <c r="C11" s="23">
        <f>-(SUMIFS('Journal Entries'!$G$5:$G$785,'Journal Entries'!$D$5:$D$785,"1100",'Journal Entries'!$C$5:$C$785,"2020*",'Journal Entries'!$F$5:$F$785,"&lt;&gt;3.1 bridge conversion",'Journal Entries'!$F$5:$F$785,"&lt;&gt;3.1 PIK capitalisation")+SUMIFS('Journal Entries'!$G$5:$G$785,'Journal Entries'!$D$5:$D$785,"1150",'Journal Entries'!$C$5:$C$785,"2020*"))</f>
        <v>-55000000</v>
      </c>
      <c r="D11" s="23">
        <f>-(SUMIFS('Journal Entries'!$G$5:$G$785,'Journal Entries'!$D$5:$D$785,"1100",'Journal Entries'!$C$5:$C$785,"2021*",'Journal Entries'!$F$5:$F$785,"&lt;&gt;3.1 bridge conversion",'Journal Entries'!$F$5:$F$785,"&lt;&gt;3.1 PIK capitalisation")+SUMIFS('Journal Entries'!$G$5:$G$785,'Journal Entries'!$D$5:$D$785,"1150",'Journal Entries'!$C$5:$C$785,"2021*"))</f>
        <v>-48000000</v>
      </c>
      <c r="E11" s="23">
        <f>-(SUMIFS('Journal Entries'!$G$5:$G$785,'Journal Entries'!$D$5:$D$785,"1100",'Journal Entries'!$C$5:$C$785,"2022*",'Journal Entries'!$F$5:$F$785,"&lt;&gt;3.1 bridge conversion",'Journal Entries'!$F$5:$F$785,"&lt;&gt;3.1 PIK capitalisation")+SUMIFS('Journal Entries'!$G$5:$G$785,'Journal Entries'!$D$5:$D$785,"1150",'Journal Entries'!$C$5:$C$785,"2022*"))</f>
        <v>-26000000</v>
      </c>
      <c r="F11" s="23">
        <f>-(SUMIFS('Journal Entries'!$G$5:$G$785,'Journal Entries'!$D$5:$D$785,"1100",'Journal Entries'!$C$5:$C$785,"2023*",'Journal Entries'!$F$5:$F$785,"&lt;&gt;3.1 bridge conversion",'Journal Entries'!$F$5:$F$785,"&lt;&gt;3.1 PIK capitalisation")+SUMIFS('Journal Entries'!$G$5:$G$785,'Journal Entries'!$D$5:$D$785,"1150",'Journal Entries'!$C$5:$C$785,"2023*"))</f>
        <v>-9000000</v>
      </c>
      <c r="G11" s="23">
        <f>-(SUMIFS('Journal Entries'!$G$5:$G$785,'Journal Entries'!$D$5:$D$785,"1100",'Journal Entries'!$C$5:$C$785,"2024*",'Journal Entries'!$F$5:$F$785,"&lt;&gt;3.1 bridge conversion",'Journal Entries'!$F$5:$F$785,"&lt;&gt;3.1 PIK capitalisation")+SUMIFS('Journal Entries'!$G$5:$G$785,'Journal Entries'!$D$5:$D$785,"1150",'Journal Entries'!$C$5:$C$785,"2024*"))</f>
        <v>0</v>
      </c>
      <c r="H11" s="23">
        <f>-(SUMIFS('Journal Entries'!$G$5:$G$785,'Journal Entries'!$D$5:$D$785,"1100",'Journal Entries'!$C$5:$C$785,"2025*",'Journal Entries'!$F$5:$F$785,"&lt;&gt;3.1 bridge conversion",'Journal Entries'!$F$5:$F$785,"&lt;&gt;3.1 PIK capitalisation")+SUMIFS('Journal Entries'!$G$5:$G$785,'Journal Entries'!$D$5:$D$785,"1150",'Journal Entries'!$C$5:$C$785,"2025*"))</f>
        <v>0</v>
      </c>
      <c r="I11" s="23">
        <f>-(SUMIFS('Journal Entries'!$G$5:$G$785,'Journal Entries'!$D$5:$D$785,"1100",'Journal Entries'!$C$5:$C$785,"2026*",'Journal Entries'!$F$5:$F$785,"&lt;&gt;3.1 bridge conversion",'Journal Entries'!$F$5:$F$785,"&lt;&gt;3.1 PIK capitalisation")+SUMIFS('Journal Entries'!$G$5:$G$785,'Journal Entries'!$D$5:$D$785,"1150",'Journal Entries'!$C$5:$C$785,"2026*"))</f>
        <v>0</v>
      </c>
      <c r="J11" s="23">
        <f>-(SUMIFS('Journal Entries'!$G$5:$G$785,'Journal Entries'!$D$5:$D$785,"1100",'Journal Entries'!$C$5:$C$785,"2027*",'Journal Entries'!$F$5:$F$785,"&lt;&gt;3.1 bridge conversion",'Journal Entries'!$F$5:$F$785,"&lt;&gt;3.1 PIK capitalisation")+SUMIFS('Journal Entries'!$G$5:$G$785,'Journal Entries'!$D$5:$D$785,"1150",'Journal Entries'!$C$5:$C$785,"2027*"))</f>
        <v>0</v>
      </c>
      <c r="K11" s="23">
        <f>-(SUMIFS('Journal Entries'!$G$5:$G$785,'Journal Entries'!$D$5:$D$785,"1100",'Journal Entries'!$C$5:$C$785,"2028*",'Journal Entries'!$F$5:$F$785,"&lt;&gt;3.1 bridge conversion",'Journal Entries'!$F$5:$F$785,"&lt;&gt;3.1 PIK capitalisation")+SUMIFS('Journal Entries'!$G$5:$G$785,'Journal Entries'!$D$5:$D$785,"1150",'Journal Entries'!$C$5:$C$785,"2028*"))</f>
        <v>0</v>
      </c>
      <c r="L11" s="23">
        <f>-(SUMIFS('Journal Entries'!$G$5:$G$785,'Journal Entries'!$D$5:$D$785,"1100",'Journal Entries'!$C$5:$C$785,"2029*",'Journal Entries'!$F$5:$F$785,"&lt;&gt;3.1 bridge conversion",'Journal Entries'!$F$5:$F$785,"&lt;&gt;3.1 PIK capitalisation")+SUMIFS('Journal Entries'!$G$5:$G$785,'Journal Entries'!$D$5:$D$785,"1150",'Journal Entries'!$C$5:$C$785,"2029*"))</f>
        <v>0</v>
      </c>
      <c r="M11" s="23">
        <f>-(SUMIFS('Journal Entries'!$G$5:$G$785,'Journal Entries'!$D$5:$D$785,"1100",'Journal Entries'!$C$5:$C$785,"2030*",'Journal Entries'!$F$5:$F$785,"&lt;&gt;3.1 bridge conversion",'Journal Entries'!$F$5:$F$785,"&lt;&gt;3.1 PIK capitalisation")+SUMIFS('Journal Entries'!$G$5:$G$785,'Journal Entries'!$D$5:$D$785,"1150",'Journal Entries'!$C$5:$C$785,"2030*"))</f>
        <v>0</v>
      </c>
    </row>
    <row r="12" spans="1:13" x14ac:dyDescent="0.25">
      <c r="A12" s="8" t="s">
        <v>350</v>
      </c>
      <c r="B12" s="23">
        <f>SUMIFS('Journal Entries'!$H$5:$H$785,'Journal Entries'!$D$5:$D$785,"1100",'Journal Entries'!$C$5:$C$785,"2019*",'Journal Entries'!$F$5:$F$785,"&lt;&gt;3.1 bridge conversion",'Journal Entries'!$F$5:$F$785,"&lt;&gt;3.1 PIK capitalisation")+'Income Statement'!B26</f>
        <v>0</v>
      </c>
      <c r="C12" s="23">
        <f>SUMIFS('Journal Entries'!$H$5:$H$785,'Journal Entries'!$D$5:$D$785,"1100",'Journal Entries'!$C$5:$C$785,"2020*",'Journal Entries'!$F$5:$F$785,"&lt;&gt;3.1 bridge conversion",'Journal Entries'!$F$5:$F$785,"&lt;&gt;3.1 PIK capitalisation")+'Income Statement'!C26</f>
        <v>0</v>
      </c>
      <c r="D12" s="23">
        <f>SUMIFS('Journal Entries'!$H$5:$H$785,'Journal Entries'!$D$5:$D$785,"1100",'Journal Entries'!$C$5:$C$785,"2021*",'Journal Entries'!$F$5:$F$785,"&lt;&gt;3.1 bridge conversion",'Journal Entries'!$F$5:$F$785,"&lt;&gt;3.1 PIK capitalisation")+'Income Statement'!D26</f>
        <v>0</v>
      </c>
      <c r="E12" s="23">
        <f>SUMIFS('Journal Entries'!$H$5:$H$785,'Journal Entries'!$D$5:$D$785,"1100",'Journal Entries'!$C$5:$C$785,"2022*",'Journal Entries'!$F$5:$F$785,"&lt;&gt;3.1 bridge conversion",'Journal Entries'!$F$5:$F$785,"&lt;&gt;3.1 PIK capitalisation")+'Income Statement'!E26</f>
        <v>0</v>
      </c>
      <c r="F12" s="23">
        <f>SUMIFS('Journal Entries'!$H$5:$H$785,'Journal Entries'!$D$5:$D$785,"1100",'Journal Entries'!$C$5:$C$785,"2023*",'Journal Entries'!$F$5:$F$785,"&lt;&gt;3.1 bridge conversion",'Journal Entries'!$F$5:$F$785,"&lt;&gt;3.1 PIK capitalisation")+'Income Statement'!F26</f>
        <v>0</v>
      </c>
      <c r="G12" s="23">
        <f>SUMIFS('Journal Entries'!$H$5:$H$785,'Journal Entries'!$D$5:$D$785,"1100",'Journal Entries'!$C$5:$C$785,"2024*",'Journal Entries'!$F$5:$F$785,"&lt;&gt;3.1 bridge conversion",'Journal Entries'!$F$5:$F$785,"&lt;&gt;3.1 PIK capitalisation")+'Income Statement'!G26</f>
        <v>118000000</v>
      </c>
      <c r="H12" s="23">
        <f>SUMIFS('Journal Entries'!$H$5:$H$785,'Journal Entries'!$D$5:$D$785,"1100",'Journal Entries'!$C$5:$C$785,"2025*",'Journal Entries'!$F$5:$F$785,"&lt;&gt;3.1 bridge conversion",'Journal Entries'!$F$5:$F$785,"&lt;&gt;3.1 PIK capitalisation")+'Income Statement'!H26</f>
        <v>28800000</v>
      </c>
      <c r="I12" s="23">
        <f>SUMIFS('Journal Entries'!$H$5:$H$785,'Journal Entries'!$D$5:$D$785,"1100",'Journal Entries'!$C$5:$C$785,"2026*",'Journal Entries'!$F$5:$F$785,"&lt;&gt;3.1 bridge conversion",'Journal Entries'!$F$5:$F$785,"&lt;&gt;3.1 PIK capitalisation")+'Income Statement'!I26</f>
        <v>0</v>
      </c>
      <c r="J12" s="23">
        <f>SUMIFS('Journal Entries'!$H$5:$H$785,'Journal Entries'!$D$5:$D$785,"1100",'Journal Entries'!$C$5:$C$785,"2027*",'Journal Entries'!$F$5:$F$785,"&lt;&gt;3.1 bridge conversion",'Journal Entries'!$F$5:$F$785,"&lt;&gt;3.1 PIK capitalisation")+'Income Statement'!J26</f>
        <v>92000000</v>
      </c>
      <c r="K12" s="23">
        <f>SUMIFS('Journal Entries'!$H$5:$H$785,'Journal Entries'!$D$5:$D$785,"1100",'Journal Entries'!$C$5:$C$785,"2028*",'Journal Entries'!$F$5:$F$785,"&lt;&gt;3.1 bridge conversion",'Journal Entries'!$F$5:$F$785,"&lt;&gt;3.1 PIK capitalisation")+'Income Statement'!K26</f>
        <v>120192277.7</v>
      </c>
      <c r="L12" s="23">
        <f>SUMIFS('Journal Entries'!$H$5:$H$785,'Journal Entries'!$D$5:$D$785,"1100",'Journal Entries'!$C$5:$C$785,"2029*",'Journal Entries'!$F$5:$F$785,"&lt;&gt;3.1 bridge conversion",'Journal Entries'!$F$5:$F$785,"&lt;&gt;3.1 PIK capitalisation")+'Income Statement'!L26</f>
        <v>62000000</v>
      </c>
      <c r="M12" s="23">
        <f>SUMIFS('Journal Entries'!$H$5:$H$785,'Journal Entries'!$D$5:$D$785,"1100",'Journal Entries'!$C$5:$C$785,"2030*",'Journal Entries'!$F$5:$F$785,"&lt;&gt;3.1 bridge conversion",'Journal Entries'!$F$5:$F$785,"&lt;&gt;3.1 PIK capitalisation")+'Income Statement'!M26</f>
        <v>0</v>
      </c>
    </row>
    <row r="13" spans="1:13" x14ac:dyDescent="0.25">
      <c r="A13" s="8" t="s">
        <v>351</v>
      </c>
      <c r="B13" s="23">
        <f>-('Trial Balance'!D$10)</f>
        <v>0</v>
      </c>
      <c r="C13" s="23">
        <f>-(('Trial Balance'!E$10-'Trial Balance'!D$10))</f>
        <v>0</v>
      </c>
      <c r="D13" s="23">
        <f>-(('Trial Balance'!F$10-'Trial Balance'!E$10))</f>
        <v>0</v>
      </c>
      <c r="E13" s="23">
        <f>-(('Trial Balance'!G$10-'Trial Balance'!F$10))</f>
        <v>0</v>
      </c>
      <c r="F13" s="23">
        <f>-(('Trial Balance'!H$10-'Trial Balance'!G$10))</f>
        <v>0</v>
      </c>
      <c r="G13" s="23">
        <f>-(('Trial Balance'!I$10-'Trial Balance'!H$10))</f>
        <v>0</v>
      </c>
      <c r="H13" s="23">
        <f>-(('Trial Balance'!J$10-'Trial Balance'!I$10))</f>
        <v>0</v>
      </c>
      <c r="I13" s="23">
        <f>-(('Trial Balance'!K$10-'Trial Balance'!J$10))</f>
        <v>0</v>
      </c>
      <c r="J13" s="23">
        <f>-(('Trial Balance'!L$10-'Trial Balance'!K$10))</f>
        <v>0</v>
      </c>
      <c r="K13" s="23">
        <f>-(('Trial Balance'!M$10-'Trial Balance'!L$10))</f>
        <v>0</v>
      </c>
      <c r="L13" s="23">
        <f>-(('Trial Balance'!N$10-'Trial Balance'!M$10))</f>
        <v>0</v>
      </c>
      <c r="M13" s="23">
        <f>-(('Trial Balance'!O$10-'Trial Balance'!N$10))</f>
        <v>0</v>
      </c>
    </row>
    <row r="14" spans="1:13" x14ac:dyDescent="0.25">
      <c r="A14" s="8" t="s">
        <v>352</v>
      </c>
      <c r="B14" s="23">
        <f>-('Trial Balance'!D$6+'Trial Balance'!D$11)</f>
        <v>0</v>
      </c>
      <c r="C14" s="23">
        <f>-(('Trial Balance'!E$6-'Trial Balance'!D$6)+('Trial Balance'!E$11-'Trial Balance'!D$11))</f>
        <v>0</v>
      </c>
      <c r="D14" s="23">
        <f>-(('Trial Balance'!F$6-'Trial Balance'!E$6)+('Trial Balance'!F$11-'Trial Balance'!E$11))</f>
        <v>0</v>
      </c>
      <c r="E14" s="23">
        <f>-(('Trial Balance'!G$6-'Trial Balance'!F$6)+('Trial Balance'!G$11-'Trial Balance'!F$11))</f>
        <v>0</v>
      </c>
      <c r="F14" s="23">
        <f>-(('Trial Balance'!H$6-'Trial Balance'!G$6)+('Trial Balance'!H$11-'Trial Balance'!G$11))</f>
        <v>0</v>
      </c>
      <c r="G14" s="23">
        <f>-(('Trial Balance'!I$6-'Trial Balance'!H$6)+('Trial Balance'!I$11-'Trial Balance'!H$11))</f>
        <v>0</v>
      </c>
      <c r="H14" s="23">
        <f>-(('Trial Balance'!J$6-'Trial Balance'!I$6)+('Trial Balance'!J$11-'Trial Balance'!I$11))</f>
        <v>0</v>
      </c>
      <c r="I14" s="23">
        <f>-(('Trial Balance'!K$6-'Trial Balance'!J$6)+('Trial Balance'!K$11-'Trial Balance'!J$11))</f>
        <v>0</v>
      </c>
      <c r="J14" s="23">
        <f>-(('Trial Balance'!L$6-'Trial Balance'!K$6)+('Trial Balance'!L$11-'Trial Balance'!K$11))</f>
        <v>0</v>
      </c>
      <c r="K14" s="23">
        <f>-(('Trial Balance'!M$6-'Trial Balance'!L$6)+('Trial Balance'!M$11-'Trial Balance'!L$11))</f>
        <v>0</v>
      </c>
      <c r="L14" s="23">
        <f>-(('Trial Balance'!N$6-'Trial Balance'!M$6)+('Trial Balance'!N$11-'Trial Balance'!M$11))</f>
        <v>0</v>
      </c>
      <c r="M14" s="23">
        <f>-(('Trial Balance'!O$6-'Trial Balance'!N$6)+('Trial Balance'!O$11-'Trial Balance'!N$11))</f>
        <v>0</v>
      </c>
    </row>
    <row r="15" spans="1:13" x14ac:dyDescent="0.25">
      <c r="A15" s="8" t="s">
        <v>353</v>
      </c>
      <c r="B15" s="23">
        <f>-('Trial Balance'!D$12)</f>
        <v>0</v>
      </c>
      <c r="C15" s="23">
        <f>-(('Trial Balance'!E$12-'Trial Balance'!D$12))</f>
        <v>0</v>
      </c>
      <c r="D15" s="23">
        <f>-(('Trial Balance'!F$12-'Trial Balance'!E$12))</f>
        <v>0</v>
      </c>
      <c r="E15" s="23">
        <f>-(('Trial Balance'!G$12-'Trial Balance'!F$12))</f>
        <v>0</v>
      </c>
      <c r="F15" s="23">
        <f>-(('Trial Balance'!H$12-'Trial Balance'!G$12))</f>
        <v>0</v>
      </c>
      <c r="G15" s="23">
        <f>-(('Trial Balance'!I$12-'Trial Balance'!H$12))</f>
        <v>0</v>
      </c>
      <c r="H15" s="23">
        <f>-(('Trial Balance'!J$12-'Trial Balance'!I$12))</f>
        <v>0</v>
      </c>
      <c r="I15" s="23">
        <f>-(('Trial Balance'!K$12-'Trial Balance'!J$12))</f>
        <v>0</v>
      </c>
      <c r="J15" s="23">
        <f>-(('Trial Balance'!L$12-'Trial Balance'!K$12))</f>
        <v>0</v>
      </c>
      <c r="K15" s="23">
        <f>-(('Trial Balance'!M$12-'Trial Balance'!L$12))</f>
        <v>0</v>
      </c>
      <c r="L15" s="23">
        <f>-(('Trial Balance'!N$12-'Trial Balance'!M$12))</f>
        <v>0</v>
      </c>
      <c r="M15" s="23">
        <f>-(('Trial Balance'!O$12-'Trial Balance'!N$12))</f>
        <v>0</v>
      </c>
    </row>
    <row r="16" spans="1:13" x14ac:dyDescent="0.25">
      <c r="A16" s="8" t="s">
        <v>354</v>
      </c>
      <c r="B16" s="23">
        <f>-('Trial Balance'!D$13+'Trial Balance'!D$14+'Trial Balance'!D$15+'Trial Balance'!D$16)</f>
        <v>0</v>
      </c>
      <c r="C16" s="23">
        <f>-(('Trial Balance'!E$13-'Trial Balance'!D$13)+('Trial Balance'!E$14-'Trial Balance'!D$14)+('Trial Balance'!E$15-'Trial Balance'!D$15)+('Trial Balance'!E$16-'Trial Balance'!D$16))</f>
        <v>0</v>
      </c>
      <c r="D16" s="23">
        <f>-(('Trial Balance'!F$13-'Trial Balance'!E$13)+('Trial Balance'!F$14-'Trial Balance'!E$14)+('Trial Balance'!F$15-'Trial Balance'!E$15)+('Trial Balance'!F$16-'Trial Balance'!E$16))</f>
        <v>0</v>
      </c>
      <c r="E16" s="23">
        <f>-(('Trial Balance'!G$13-'Trial Balance'!F$13)+('Trial Balance'!G$14-'Trial Balance'!F$14)+('Trial Balance'!G$15-'Trial Balance'!F$15)+('Trial Balance'!G$16-'Trial Balance'!F$16))</f>
        <v>0</v>
      </c>
      <c r="F16" s="23">
        <f>-(('Trial Balance'!H$13-'Trial Balance'!G$13)+('Trial Balance'!H$14-'Trial Balance'!G$14)+('Trial Balance'!H$15-'Trial Balance'!G$15)+('Trial Balance'!H$16-'Trial Balance'!G$16))</f>
        <v>0</v>
      </c>
      <c r="G16" s="23">
        <f>-(('Trial Balance'!I$13-'Trial Balance'!H$13)+('Trial Balance'!I$14-'Trial Balance'!H$14)+('Trial Balance'!I$15-'Trial Balance'!H$15)+('Trial Balance'!I$16-'Trial Balance'!H$16))</f>
        <v>0</v>
      </c>
      <c r="H16" s="23">
        <f>-(('Trial Balance'!J$13-'Trial Balance'!I$13)+('Trial Balance'!J$14-'Trial Balance'!I$14)+('Trial Balance'!J$15-'Trial Balance'!I$15)+('Trial Balance'!J$16-'Trial Balance'!I$16))</f>
        <v>0</v>
      </c>
      <c r="I16" s="23">
        <f>-(('Trial Balance'!K$13-'Trial Balance'!J$13)+('Trial Balance'!K$14-'Trial Balance'!J$14)+('Trial Balance'!K$15-'Trial Balance'!J$15)+('Trial Balance'!K$16-'Trial Balance'!J$16))</f>
        <v>0</v>
      </c>
      <c r="J16" s="23">
        <f>-(('Trial Balance'!L$13-'Trial Balance'!K$13)+('Trial Balance'!L$14-'Trial Balance'!K$14)+('Trial Balance'!L$15-'Trial Balance'!K$15)+('Trial Balance'!L$16-'Trial Balance'!K$16))</f>
        <v>0</v>
      </c>
      <c r="K16" s="23">
        <f>-(('Trial Balance'!M$13-'Trial Balance'!L$13)+('Trial Balance'!M$14-'Trial Balance'!L$14)+('Trial Balance'!M$15-'Trial Balance'!L$15)+('Trial Balance'!M$16-'Trial Balance'!L$16))</f>
        <v>0</v>
      </c>
      <c r="L16" s="23">
        <f>-(('Trial Balance'!N$13-'Trial Balance'!M$13)+('Trial Balance'!N$14-'Trial Balance'!M$14)+('Trial Balance'!N$15-'Trial Balance'!M$15)+('Trial Balance'!N$16-'Trial Balance'!M$16))</f>
        <v>0</v>
      </c>
      <c r="M16" s="23">
        <f>-(('Trial Balance'!O$13-'Trial Balance'!N$13)+('Trial Balance'!O$14-'Trial Balance'!N$14)+('Trial Balance'!O$15-'Trial Balance'!N$15)+('Trial Balance'!O$16-'Trial Balance'!N$16))</f>
        <v>0</v>
      </c>
    </row>
    <row r="17" spans="1:13" x14ac:dyDescent="0.25">
      <c r="A17" s="7" t="s">
        <v>355</v>
      </c>
      <c r="B17" s="16">
        <f t="shared" ref="B17:M17" si="0">SUM(B6:B16)</f>
        <v>-46308000</v>
      </c>
      <c r="C17" s="16">
        <f t="shared" si="0"/>
        <v>-60118000</v>
      </c>
      <c r="D17" s="16">
        <f t="shared" si="0"/>
        <v>-53118000</v>
      </c>
      <c r="E17" s="16">
        <f t="shared" si="0"/>
        <v>-31068000</v>
      </c>
      <c r="F17" s="16">
        <f t="shared" si="0"/>
        <v>-14068000</v>
      </c>
      <c r="G17" s="16">
        <f t="shared" si="0"/>
        <v>112782000</v>
      </c>
      <c r="H17" s="16">
        <f t="shared" si="0"/>
        <v>24756000</v>
      </c>
      <c r="I17" s="16">
        <f t="shared" si="0"/>
        <v>-2654000</v>
      </c>
      <c r="J17" s="16">
        <f t="shared" si="0"/>
        <v>89871000</v>
      </c>
      <c r="K17" s="16">
        <f t="shared" si="0"/>
        <v>118783277.7</v>
      </c>
      <c r="L17" s="16">
        <f t="shared" si="0"/>
        <v>61376000</v>
      </c>
      <c r="M17" s="16">
        <f t="shared" si="0"/>
        <v>-267000</v>
      </c>
    </row>
    <row r="18" spans="1:13" x14ac:dyDescent="0.25">
      <c r="A18" s="7"/>
      <c r="B18" s="16"/>
      <c r="C18" s="16"/>
      <c r="D18" s="16"/>
      <c r="E18" s="16"/>
      <c r="F18" s="16"/>
      <c r="G18" s="16"/>
      <c r="H18" s="16"/>
      <c r="I18" s="16"/>
      <c r="J18" s="16"/>
      <c r="K18" s="16"/>
      <c r="L18" s="16"/>
      <c r="M18" s="16"/>
    </row>
    <row r="19" spans="1:13" x14ac:dyDescent="0.25">
      <c r="A19" s="6" t="s">
        <v>356</v>
      </c>
      <c r="B19" s="23"/>
      <c r="C19" s="23"/>
      <c r="D19" s="23"/>
      <c r="E19" s="23"/>
      <c r="F19" s="23"/>
      <c r="G19" s="23"/>
      <c r="H19" s="23"/>
      <c r="I19" s="23"/>
      <c r="J19" s="23"/>
      <c r="K19" s="23"/>
      <c r="L19" s="23"/>
      <c r="M19" s="23"/>
    </row>
    <row r="20" spans="1:13" x14ac:dyDescent="0.25">
      <c r="A20" s="8" t="s">
        <v>357</v>
      </c>
      <c r="B20" s="23">
        <f>-('Trial Balance'!D$17)</f>
        <v>47500000</v>
      </c>
      <c r="C20" s="23">
        <f>-(('Trial Balance'!E$17-'Trial Balance'!D$17))</f>
        <v>60100000</v>
      </c>
      <c r="D20" s="23">
        <f>-(('Trial Balance'!F$17-'Trial Balance'!E$17))</f>
        <v>54900000</v>
      </c>
      <c r="E20" s="23">
        <f>-(('Trial Balance'!G$17-'Trial Balance'!F$17))</f>
        <v>30800000</v>
      </c>
      <c r="F20" s="23">
        <f>-(('Trial Balance'!H$17-'Trial Balance'!G$17))</f>
        <v>13600000</v>
      </c>
      <c r="G20" s="23">
        <f>-(('Trial Balance'!I$17-'Trial Balance'!H$17))</f>
        <v>2800000</v>
      </c>
      <c r="H20" s="23">
        <f>-(('Trial Balance'!J$17-'Trial Balance'!I$17))</f>
        <v>1300000</v>
      </c>
      <c r="I20" s="23">
        <f>-(('Trial Balance'!K$17-'Trial Balance'!J$17))</f>
        <v>1200000</v>
      </c>
      <c r="J20" s="23">
        <f>-(('Trial Balance'!L$17-'Trial Balance'!K$17))</f>
        <v>1100000</v>
      </c>
      <c r="K20" s="23">
        <f>-(('Trial Balance'!M$17-'Trial Balance'!L$17))</f>
        <v>0</v>
      </c>
      <c r="L20" s="23">
        <f>-(('Trial Balance'!N$17-'Trial Balance'!M$17))</f>
        <v>0</v>
      </c>
      <c r="M20" s="23">
        <f>-(('Trial Balance'!O$17-'Trial Balance'!N$17))</f>
        <v>0</v>
      </c>
    </row>
    <row r="21" spans="1:13" x14ac:dyDescent="0.25">
      <c r="A21" s="8" t="s">
        <v>358</v>
      </c>
      <c r="B21" s="23">
        <f>-('Trial Balance'!D$18)</f>
        <v>-900000</v>
      </c>
      <c r="C21" s="23">
        <f>-(('Trial Balance'!E$18-'Trial Balance'!D$18))</f>
        <v>0</v>
      </c>
      <c r="D21" s="23">
        <f>-(('Trial Balance'!F$18-'Trial Balance'!E$18))</f>
        <v>0</v>
      </c>
      <c r="E21" s="23">
        <f>-(('Trial Balance'!G$18-'Trial Balance'!F$18))</f>
        <v>0</v>
      </c>
      <c r="F21" s="23">
        <f>-(('Trial Balance'!H$18-'Trial Balance'!G$18))</f>
        <v>0</v>
      </c>
      <c r="G21" s="23">
        <f>-(('Trial Balance'!I$18-'Trial Balance'!H$18))</f>
        <v>0</v>
      </c>
      <c r="H21" s="23">
        <f>-(('Trial Balance'!J$18-'Trial Balance'!I$18))</f>
        <v>0</v>
      </c>
      <c r="I21" s="23">
        <f>-(('Trial Balance'!K$18-'Trial Balance'!J$18))</f>
        <v>0</v>
      </c>
      <c r="J21" s="23">
        <f>-(('Trial Balance'!L$18-'Trial Balance'!K$18))</f>
        <v>0</v>
      </c>
      <c r="K21" s="23">
        <f>-(('Trial Balance'!M$18-'Trial Balance'!L$18))</f>
        <v>0</v>
      </c>
      <c r="L21" s="23">
        <f>-(('Trial Balance'!N$18-'Trial Balance'!M$18))</f>
        <v>0</v>
      </c>
      <c r="M21" s="23">
        <f>-(('Trial Balance'!O$18-'Trial Balance'!N$18))</f>
        <v>0</v>
      </c>
    </row>
    <row r="22" spans="1:13" x14ac:dyDescent="0.25">
      <c r="A22" s="8" t="s">
        <v>359</v>
      </c>
      <c r="B22" s="23">
        <f>-('Trial Balance'!D$19)</f>
        <v>0</v>
      </c>
      <c r="C22" s="23">
        <f>-(('Trial Balance'!E$19-'Trial Balance'!D$19))</f>
        <v>0</v>
      </c>
      <c r="D22" s="23">
        <f>-(('Trial Balance'!F$19-'Trial Balance'!E$19))</f>
        <v>0</v>
      </c>
      <c r="E22" s="23">
        <f>-(('Trial Balance'!G$19-'Trial Balance'!F$19))</f>
        <v>0</v>
      </c>
      <c r="F22" s="23">
        <f>-(('Trial Balance'!H$19-'Trial Balance'!G$19))</f>
        <v>0</v>
      </c>
      <c r="G22" s="23">
        <f>-(('Trial Balance'!I$19-'Trial Balance'!H$19))</f>
        <v>-115200000</v>
      </c>
      <c r="H22" s="23">
        <f>-(('Trial Balance'!J$19-'Trial Balance'!I$19))</f>
        <v>-26000000</v>
      </c>
      <c r="I22" s="23">
        <f>-(('Trial Balance'!K$19-'Trial Balance'!J$19))</f>
        <v>0</v>
      </c>
      <c r="J22" s="23">
        <f>-(('Trial Balance'!L$19-'Trial Balance'!K$19))</f>
        <v>-89200000</v>
      </c>
      <c r="K22" s="23">
        <f>-(('Trial Balance'!M$19-'Trial Balance'!L$19))</f>
        <v>-117800000</v>
      </c>
      <c r="L22" s="23">
        <f>-(('Trial Balance'!N$19-'Trial Balance'!M$19))</f>
        <v>-61700000</v>
      </c>
      <c r="M22" s="23">
        <f>-(('Trial Balance'!O$19-'Trial Balance'!N$19))</f>
        <v>-2467277.6999999881</v>
      </c>
    </row>
    <row r="23" spans="1:13" x14ac:dyDescent="0.25">
      <c r="A23" s="7" t="s">
        <v>360</v>
      </c>
      <c r="B23" s="16">
        <f t="shared" ref="B23:M23" si="1">B20+B21+B22</f>
        <v>46600000</v>
      </c>
      <c r="C23" s="16">
        <f t="shared" si="1"/>
        <v>60100000</v>
      </c>
      <c r="D23" s="16">
        <f t="shared" si="1"/>
        <v>54900000</v>
      </c>
      <c r="E23" s="16">
        <f t="shared" si="1"/>
        <v>30800000</v>
      </c>
      <c r="F23" s="16">
        <f t="shared" si="1"/>
        <v>13600000</v>
      </c>
      <c r="G23" s="16">
        <f t="shared" si="1"/>
        <v>-112400000</v>
      </c>
      <c r="H23" s="16">
        <f t="shared" si="1"/>
        <v>-24700000</v>
      </c>
      <c r="I23" s="16">
        <f t="shared" si="1"/>
        <v>1200000</v>
      </c>
      <c r="J23" s="16">
        <f t="shared" si="1"/>
        <v>-88100000</v>
      </c>
      <c r="K23" s="16">
        <f t="shared" si="1"/>
        <v>-117800000</v>
      </c>
      <c r="L23" s="16">
        <f t="shared" si="1"/>
        <v>-61700000</v>
      </c>
      <c r="M23" s="16">
        <f t="shared" si="1"/>
        <v>-2467277.6999999881</v>
      </c>
    </row>
    <row r="25" spans="1:13" x14ac:dyDescent="0.25">
      <c r="A25" s="7" t="s">
        <v>361</v>
      </c>
      <c r="B25" s="16">
        <f t="shared" ref="B25:M25" si="2">B17+B23</f>
        <v>292000</v>
      </c>
      <c r="C25" s="16">
        <f t="shared" si="2"/>
        <v>-18000</v>
      </c>
      <c r="D25" s="16">
        <f t="shared" si="2"/>
        <v>1782000</v>
      </c>
      <c r="E25" s="16">
        <f t="shared" si="2"/>
        <v>-268000</v>
      </c>
      <c r="F25" s="16">
        <f t="shared" si="2"/>
        <v>-468000</v>
      </c>
      <c r="G25" s="16">
        <f t="shared" si="2"/>
        <v>382000</v>
      </c>
      <c r="H25" s="16">
        <f t="shared" si="2"/>
        <v>56000</v>
      </c>
      <c r="I25" s="16">
        <f t="shared" si="2"/>
        <v>-1454000</v>
      </c>
      <c r="J25" s="16">
        <f t="shared" si="2"/>
        <v>1771000</v>
      </c>
      <c r="K25" s="16">
        <f t="shared" si="2"/>
        <v>983277.70000000298</v>
      </c>
      <c r="L25" s="16">
        <f t="shared" si="2"/>
        <v>-324000</v>
      </c>
      <c r="M25" s="16">
        <f t="shared" si="2"/>
        <v>-2734277.6999999881</v>
      </c>
    </row>
    <row r="26" spans="1:13" x14ac:dyDescent="0.25">
      <c r="A26" s="8" t="s">
        <v>362</v>
      </c>
      <c r="B26" s="23">
        <v>0</v>
      </c>
      <c r="C26" s="23">
        <f>'Trial Balance'!D$5</f>
        <v>292000</v>
      </c>
      <c r="D26" s="23">
        <f>'Trial Balance'!E$5</f>
        <v>274000</v>
      </c>
      <c r="E26" s="23">
        <f>'Trial Balance'!F$5</f>
        <v>2056000</v>
      </c>
      <c r="F26" s="23">
        <f>'Trial Balance'!G$5</f>
        <v>1788000</v>
      </c>
      <c r="G26" s="23">
        <f>'Trial Balance'!H$5</f>
        <v>1320000</v>
      </c>
      <c r="H26" s="23">
        <f>'Trial Balance'!I$5</f>
        <v>1702000</v>
      </c>
      <c r="I26" s="23">
        <f>'Trial Balance'!J$5</f>
        <v>1758000</v>
      </c>
      <c r="J26" s="23">
        <f>'Trial Balance'!K$5</f>
        <v>304000</v>
      </c>
      <c r="K26" s="23">
        <f>'Trial Balance'!L$5</f>
        <v>2075000</v>
      </c>
      <c r="L26" s="23">
        <f>'Trial Balance'!M$5</f>
        <v>3058277.700000003</v>
      </c>
      <c r="M26" s="23">
        <f>'Trial Balance'!N$5</f>
        <v>2734277.700000003</v>
      </c>
    </row>
    <row r="27" spans="1:13" x14ac:dyDescent="0.25">
      <c r="A27" s="7" t="s">
        <v>363</v>
      </c>
      <c r="B27" s="16">
        <f t="shared" ref="B27:M27" si="3">B25+B26</f>
        <v>292000</v>
      </c>
      <c r="C27" s="16">
        <f t="shared" si="3"/>
        <v>274000</v>
      </c>
      <c r="D27" s="16">
        <f t="shared" si="3"/>
        <v>2056000</v>
      </c>
      <c r="E27" s="16">
        <f t="shared" si="3"/>
        <v>1788000</v>
      </c>
      <c r="F27" s="16">
        <f t="shared" si="3"/>
        <v>1320000</v>
      </c>
      <c r="G27" s="16">
        <f t="shared" si="3"/>
        <v>1702000</v>
      </c>
      <c r="H27" s="16">
        <f t="shared" si="3"/>
        <v>1758000</v>
      </c>
      <c r="I27" s="16">
        <f t="shared" si="3"/>
        <v>304000</v>
      </c>
      <c r="J27" s="16">
        <f t="shared" si="3"/>
        <v>2075000</v>
      </c>
      <c r="K27" s="16">
        <f t="shared" si="3"/>
        <v>3058277.700000003</v>
      </c>
      <c r="L27" s="16">
        <f t="shared" si="3"/>
        <v>2734277.700000003</v>
      </c>
      <c r="M27" s="16">
        <f t="shared" si="3"/>
        <v>1.4901161193847656E-8</v>
      </c>
    </row>
    <row r="28" spans="1:13" x14ac:dyDescent="0.25">
      <c r="A28" s="7" t="s">
        <v>364</v>
      </c>
      <c r="B28" s="16">
        <f>B27-'Trial Balance'!D$5</f>
        <v>0</v>
      </c>
      <c r="C28" s="16">
        <f>C27-'Trial Balance'!E$5</f>
        <v>0</v>
      </c>
      <c r="D28" s="16">
        <f>D27-'Trial Balance'!F$5</f>
        <v>0</v>
      </c>
      <c r="E28" s="16">
        <f>E27-'Trial Balance'!G$5</f>
        <v>0</v>
      </c>
      <c r="F28" s="16">
        <f>F27-'Trial Balance'!H$5</f>
        <v>0</v>
      </c>
      <c r="G28" s="16">
        <f>G27-'Trial Balance'!I$5</f>
        <v>0</v>
      </c>
      <c r="H28" s="16">
        <f>H27-'Trial Balance'!J$5</f>
        <v>0</v>
      </c>
      <c r="I28" s="16">
        <f>I27-'Trial Balance'!K$5</f>
        <v>0</v>
      </c>
      <c r="J28" s="16">
        <f>J27-'Trial Balance'!L$5</f>
        <v>0</v>
      </c>
      <c r="K28" s="16">
        <f>K27-'Trial Balance'!M$5</f>
        <v>0</v>
      </c>
      <c r="L28" s="16">
        <f>L27-'Trial Balance'!N$5</f>
        <v>0</v>
      </c>
      <c r="M28" s="16">
        <f>M27-'Trial Balance'!O$5</f>
        <v>1.2107193470001221E-8</v>
      </c>
    </row>
    <row r="30" spans="1:13" x14ac:dyDescent="0.25">
      <c r="A30" s="6" t="s">
        <v>365</v>
      </c>
      <c r="B30" s="23"/>
      <c r="C30" s="23"/>
      <c r="D30" s="23"/>
      <c r="E30" s="23"/>
      <c r="F30" s="23"/>
      <c r="G30" s="23"/>
      <c r="H30" s="23"/>
      <c r="I30" s="23"/>
      <c r="J30" s="23"/>
      <c r="K30" s="23"/>
      <c r="L30" s="23"/>
      <c r="M30" s="23"/>
    </row>
    <row r="31" spans="1:13" x14ac:dyDescent="0.25">
      <c r="A31" s="8" t="s">
        <v>366</v>
      </c>
      <c r="B31" s="23">
        <f>SUMIFS('Journal Entries'!$G$5:$G$785,'Journal Entries'!$D$5:$D$785,"1100",'Journal Entries'!$C$5:$C$785,"2019*",'Journal Entries'!$F$5:$F$785,"3.1 bridge conversion")</f>
        <v>0</v>
      </c>
      <c r="C31" s="23">
        <f>SUMIFS('Journal Entries'!$G$5:$G$785,'Journal Entries'!$D$5:$D$785,"1100",'Journal Entries'!$C$5:$C$785,"2020*",'Journal Entries'!$F$5:$F$785,"3.1 bridge conversion")</f>
        <v>0</v>
      </c>
      <c r="D31" s="23">
        <f>SUMIFS('Journal Entries'!$G$5:$G$785,'Journal Entries'!$D$5:$D$785,"1100",'Journal Entries'!$C$5:$C$785,"2021*",'Journal Entries'!$F$5:$F$785,"3.1 bridge conversion")</f>
        <v>1250000</v>
      </c>
      <c r="E31" s="23">
        <f>SUMIFS('Journal Entries'!$G$5:$G$785,'Journal Entries'!$D$5:$D$785,"1100",'Journal Entries'!$C$5:$C$785,"2022*",'Journal Entries'!$F$5:$F$785,"3.1 bridge conversion")</f>
        <v>0</v>
      </c>
      <c r="F31" s="23">
        <f>SUMIFS('Journal Entries'!$G$5:$G$785,'Journal Entries'!$D$5:$D$785,"1100",'Journal Entries'!$C$5:$C$785,"2023*",'Journal Entries'!$F$5:$F$785,"3.1 bridge conversion")</f>
        <v>0</v>
      </c>
      <c r="G31" s="23">
        <f>SUMIFS('Journal Entries'!$G$5:$G$785,'Journal Entries'!$D$5:$D$785,"1100",'Journal Entries'!$C$5:$C$785,"2024*",'Journal Entries'!$F$5:$F$785,"3.1 bridge conversion")</f>
        <v>0</v>
      </c>
      <c r="H31" s="23">
        <f>SUMIFS('Journal Entries'!$G$5:$G$785,'Journal Entries'!$D$5:$D$785,"1100",'Journal Entries'!$C$5:$C$785,"2025*",'Journal Entries'!$F$5:$F$785,"3.1 bridge conversion")</f>
        <v>0</v>
      </c>
      <c r="I31" s="23">
        <f>SUMIFS('Journal Entries'!$G$5:$G$785,'Journal Entries'!$D$5:$D$785,"1100",'Journal Entries'!$C$5:$C$785,"2026*",'Journal Entries'!$F$5:$F$785,"3.1 bridge conversion")</f>
        <v>0</v>
      </c>
      <c r="J31" s="23">
        <f>SUMIFS('Journal Entries'!$G$5:$G$785,'Journal Entries'!$D$5:$D$785,"1100",'Journal Entries'!$C$5:$C$785,"2027*",'Journal Entries'!$F$5:$F$785,"3.1 bridge conversion")</f>
        <v>0</v>
      </c>
      <c r="K31" s="23">
        <f>SUMIFS('Journal Entries'!$G$5:$G$785,'Journal Entries'!$D$5:$D$785,"1100",'Journal Entries'!$C$5:$C$785,"2028*",'Journal Entries'!$F$5:$F$785,"3.1 bridge conversion")</f>
        <v>0</v>
      </c>
      <c r="L31" s="23">
        <f>SUMIFS('Journal Entries'!$G$5:$G$785,'Journal Entries'!$D$5:$D$785,"1100",'Journal Entries'!$C$5:$C$785,"2029*",'Journal Entries'!$F$5:$F$785,"3.1 bridge conversion")</f>
        <v>0</v>
      </c>
      <c r="M31" s="23">
        <f>SUMIFS('Journal Entries'!$G$5:$G$785,'Journal Entries'!$D$5:$D$785,"1100",'Journal Entries'!$C$5:$C$785,"2030*",'Journal Entries'!$F$5:$F$785,"3.1 bridge conversion")</f>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75"/>
  <sheetViews>
    <sheetView workbookViewId="0"/>
  </sheetViews>
  <sheetFormatPr defaultRowHeight="15" x14ac:dyDescent="0.25"/>
  <cols>
    <col min="1" max="1" width="54" customWidth="1"/>
    <col min="2" max="13" width="15" customWidth="1"/>
  </cols>
  <sheetData>
    <row r="1" spans="1:13" ht="18" customHeight="1" x14ac:dyDescent="0.25">
      <c r="A1" s="9" t="s">
        <v>41</v>
      </c>
    </row>
    <row r="2" spans="1:13" x14ac:dyDescent="0.25">
      <c r="A2" s="10" t="s">
        <v>367</v>
      </c>
    </row>
    <row r="4" spans="1:13" x14ac:dyDescent="0.25">
      <c r="A4" s="5" t="s">
        <v>368</v>
      </c>
      <c r="B4" s="5" t="s">
        <v>290</v>
      </c>
      <c r="C4" s="5" t="s">
        <v>291</v>
      </c>
      <c r="D4" s="5" t="s">
        <v>292</v>
      </c>
      <c r="E4" s="5" t="s">
        <v>293</v>
      </c>
      <c r="F4" s="5" t="s">
        <v>294</v>
      </c>
      <c r="G4" s="5" t="s">
        <v>295</v>
      </c>
      <c r="H4" s="5" t="s">
        <v>296</v>
      </c>
      <c r="I4" s="5" t="s">
        <v>297</v>
      </c>
      <c r="J4" s="5" t="s">
        <v>298</v>
      </c>
      <c r="K4" s="5" t="s">
        <v>299</v>
      </c>
      <c r="L4" s="5" t="s">
        <v>300</v>
      </c>
      <c r="M4" s="5" t="s">
        <v>301</v>
      </c>
    </row>
    <row r="5" spans="1:13" x14ac:dyDescent="0.25">
      <c r="A5" s="8" t="s">
        <v>369</v>
      </c>
      <c r="B5" s="45">
        <v>0</v>
      </c>
      <c r="C5" s="45">
        <f t="shared" ref="C5:M5" si="0">B6</f>
        <v>42537791.659999996</v>
      </c>
      <c r="D5" s="45">
        <f t="shared" si="0"/>
        <v>104049700.55</v>
      </c>
      <c r="E5" s="45">
        <f t="shared" si="0"/>
        <v>177568407.81</v>
      </c>
      <c r="F5" s="45">
        <f t="shared" si="0"/>
        <v>204624634.99000004</v>
      </c>
      <c r="G5" s="45">
        <f t="shared" si="0"/>
        <v>245157649.98000002</v>
      </c>
      <c r="H5" s="45">
        <f t="shared" si="0"/>
        <v>165792024.28999996</v>
      </c>
      <c r="I5" s="45">
        <f t="shared" si="0"/>
        <v>153089999.70999968</v>
      </c>
      <c r="J5" s="45">
        <f t="shared" si="0"/>
        <v>166449628.37999982</v>
      </c>
      <c r="K5" s="45">
        <f t="shared" si="0"/>
        <v>114684493.32999998</v>
      </c>
      <c r="L5" s="45">
        <f t="shared" si="0"/>
        <v>38445539.240000486</v>
      </c>
      <c r="M5" s="45">
        <f t="shared" si="0"/>
        <v>2144258.3400005102</v>
      </c>
    </row>
    <row r="6" spans="1:13" x14ac:dyDescent="0.25">
      <c r="A6" s="8" t="s">
        <v>370</v>
      </c>
      <c r="B6" s="45">
        <f>(SUMIFS(Allocations!$E$5:$E$1700,Allocations!$B$5:$B$1700,"&lt;="&amp;3,Allocations!$F$5:$F$1700,"LP")-2*SUMIFS(Allocations!$E$5:$E$1700,Allocations!$B$5:$B$1700,"&lt;="&amp;3,Allocations!$F$5:$F$1700,"LP",Allocations!$D$5:$D$1700,"Distributions"))</f>
        <v>42537791.659999996</v>
      </c>
      <c r="C6" s="45">
        <f>(SUMIFS(Allocations!$E$5:$E$1700,Allocations!$B$5:$B$1700,"&lt;="&amp;7,Allocations!$F$5:$F$1700,"LP")-2*SUMIFS(Allocations!$E$5:$E$1700,Allocations!$B$5:$B$1700,"&lt;="&amp;7,Allocations!$F$5:$F$1700,"LP",Allocations!$D$5:$D$1700,"Distributions"))</f>
        <v>104049700.55</v>
      </c>
      <c r="D6" s="45">
        <f>(SUMIFS(Allocations!$E$5:$E$1700,Allocations!$B$5:$B$1700,"&lt;="&amp;11,Allocations!$F$5:$F$1700,"LP")-2*SUMIFS(Allocations!$E$5:$E$1700,Allocations!$B$5:$B$1700,"&lt;="&amp;11,Allocations!$F$5:$F$1700,"LP",Allocations!$D$5:$D$1700,"Distributions"))</f>
        <v>177568407.81</v>
      </c>
      <c r="E6" s="45">
        <f>(SUMIFS(Allocations!$E$5:$E$1700,Allocations!$B$5:$B$1700,"&lt;="&amp;15,Allocations!$F$5:$F$1700,"LP")-2*SUMIFS(Allocations!$E$5:$E$1700,Allocations!$B$5:$B$1700,"&lt;="&amp;15,Allocations!$F$5:$F$1700,"LP",Allocations!$D$5:$D$1700,"Distributions"))</f>
        <v>204624634.99000004</v>
      </c>
      <c r="F6" s="45">
        <f>(SUMIFS(Allocations!$E$5:$E$1700,Allocations!$B$5:$B$1700,"&lt;="&amp;19,Allocations!$F$5:$F$1700,"LP")-2*SUMIFS(Allocations!$E$5:$E$1700,Allocations!$B$5:$B$1700,"&lt;="&amp;19,Allocations!$F$5:$F$1700,"LP",Allocations!$D$5:$D$1700,"Distributions"))</f>
        <v>245157649.98000002</v>
      </c>
      <c r="G6" s="45">
        <f>(SUMIFS(Allocations!$E$5:$E$1700,Allocations!$B$5:$B$1700,"&lt;="&amp;23,Allocations!$F$5:$F$1700,"LP")-2*SUMIFS(Allocations!$E$5:$E$1700,Allocations!$B$5:$B$1700,"&lt;="&amp;23,Allocations!$F$5:$F$1700,"LP",Allocations!$D$5:$D$1700,"Distributions"))</f>
        <v>165792024.28999996</v>
      </c>
      <c r="H6" s="45">
        <f>(SUMIFS(Allocations!$E$5:$E$1700,Allocations!$B$5:$B$1700,"&lt;="&amp;27,Allocations!$F$5:$F$1700,"LP")-2*SUMIFS(Allocations!$E$5:$E$1700,Allocations!$B$5:$B$1700,"&lt;="&amp;27,Allocations!$F$5:$F$1700,"LP",Allocations!$D$5:$D$1700,"Distributions"))</f>
        <v>153089999.70999968</v>
      </c>
      <c r="I6" s="45">
        <f>(SUMIFS(Allocations!$E$5:$E$1700,Allocations!$B$5:$B$1700,"&lt;="&amp;31,Allocations!$F$5:$F$1700,"LP")-2*SUMIFS(Allocations!$E$5:$E$1700,Allocations!$B$5:$B$1700,"&lt;="&amp;31,Allocations!$F$5:$F$1700,"LP",Allocations!$D$5:$D$1700,"Distributions"))</f>
        <v>166449628.37999982</v>
      </c>
      <c r="J6" s="45">
        <f>(SUMIFS(Allocations!$E$5:$E$1700,Allocations!$B$5:$B$1700,"&lt;="&amp;35,Allocations!$F$5:$F$1700,"LP")-2*SUMIFS(Allocations!$E$5:$E$1700,Allocations!$B$5:$B$1700,"&lt;="&amp;35,Allocations!$F$5:$F$1700,"LP",Allocations!$D$5:$D$1700,"Distributions"))</f>
        <v>114684493.32999998</v>
      </c>
      <c r="K6" s="45">
        <f>(SUMIFS(Allocations!$E$5:$E$1700,Allocations!$B$5:$B$1700,"&lt;="&amp;39,Allocations!$F$5:$F$1700,"LP")-2*SUMIFS(Allocations!$E$5:$E$1700,Allocations!$B$5:$B$1700,"&lt;="&amp;39,Allocations!$F$5:$F$1700,"LP",Allocations!$D$5:$D$1700,"Distributions"))</f>
        <v>38445539.240000486</v>
      </c>
      <c r="L6" s="45">
        <f>(SUMIFS(Allocations!$E$5:$E$1700,Allocations!$B$5:$B$1700,"&lt;="&amp;43,Allocations!$F$5:$F$1700,"LP")-2*SUMIFS(Allocations!$E$5:$E$1700,Allocations!$B$5:$B$1700,"&lt;="&amp;43,Allocations!$F$5:$F$1700,"LP",Allocations!$D$5:$D$1700,"Distributions"))</f>
        <v>2144258.3400005102</v>
      </c>
      <c r="M6" s="45">
        <f>(SUMIFS(Allocations!$E$5:$E$1700,Allocations!$B$5:$B$1700,"&lt;="&amp;45,Allocations!$F$5:$F$1700,"LP")-2*SUMIFS(Allocations!$E$5:$E$1700,Allocations!$B$5:$B$1700,"&lt;="&amp;45,Allocations!$F$5:$F$1700,"LP",Allocations!$D$5:$D$1700,"Distributions"))</f>
        <v>8.3446502685546875E-7</v>
      </c>
    </row>
    <row r="7" spans="1:13" x14ac:dyDescent="0.25">
      <c r="A7" s="8" t="s">
        <v>371</v>
      </c>
      <c r="B7" s="45">
        <f t="shared" ref="B7:M7" si="1">(B5+B6)/2</f>
        <v>21268895.829999998</v>
      </c>
      <c r="C7" s="45">
        <f t="shared" si="1"/>
        <v>73293746.104999989</v>
      </c>
      <c r="D7" s="45">
        <f t="shared" si="1"/>
        <v>140809054.18000001</v>
      </c>
      <c r="E7" s="45">
        <f t="shared" si="1"/>
        <v>191096521.40000004</v>
      </c>
      <c r="F7" s="45">
        <f t="shared" si="1"/>
        <v>224891142.48500001</v>
      </c>
      <c r="G7" s="45">
        <f t="shared" si="1"/>
        <v>205474837.13499999</v>
      </c>
      <c r="H7" s="45">
        <f t="shared" si="1"/>
        <v>159441011.99999982</v>
      </c>
      <c r="I7" s="45">
        <f t="shared" si="1"/>
        <v>159769814.04499975</v>
      </c>
      <c r="J7" s="45">
        <f t="shared" si="1"/>
        <v>140567060.8549999</v>
      </c>
      <c r="K7" s="45">
        <f t="shared" si="1"/>
        <v>76565016.285000235</v>
      </c>
      <c r="L7" s="45">
        <f t="shared" si="1"/>
        <v>20294898.790000498</v>
      </c>
      <c r="M7" s="45">
        <f t="shared" si="1"/>
        <v>1072129.1700006723</v>
      </c>
    </row>
    <row r="9" spans="1:13" x14ac:dyDescent="0.25">
      <c r="A9" s="8" t="s">
        <v>372</v>
      </c>
    </row>
    <row r="10" spans="1:13" x14ac:dyDescent="0.25">
      <c r="A10" s="8" t="s">
        <v>373</v>
      </c>
      <c r="B10" s="34">
        <f>IF(B7=0,0,-(SUMIFS(Allocations!$E$5:$E$1700,Allocations!$B$5:$B$1700,"&gt;-1",Allocations!$B$5:$B$1700,"&lt;=3",Allocations!$F$5:$F$1700,"LP",Allocations!$D$5:$D$1700,"Management fee")+SUMIFS(Allocations!$E$5:$E$1700,Allocations!$B$5:$B$1700,"&gt;-1",Allocations!$B$5:$B$1700,"&lt;=3",Allocations!$F$5:$F$1700,"LP",Allocations!$D$5:$D$1700,"Other fund expenses"))/B7)</f>
        <v>0.19928618974293036</v>
      </c>
      <c r="C10" s="34">
        <f>IF(C7=0,0,-(SUMIFS(Allocations!$E$5:$E$1700,Allocations!$B$5:$B$1700,"&gt;3",Allocations!$B$5:$B$1700,"&lt;=7",Allocations!$F$5:$F$1700,"LP",Allocations!$D$5:$D$1700,"Management fee")+SUMIFS(Allocations!$E$5:$E$1700,Allocations!$B$5:$B$1700,"&gt;3",Allocations!$B$5:$B$1700,"&lt;=7",Allocations!$F$5:$F$1700,"LP",Allocations!$D$5:$D$1700,"Other fund expenses"))/C7)</f>
        <v>6.965854293606244E-2</v>
      </c>
      <c r="D10" s="34">
        <f>IF(D7=0,0,-(SUMIFS(Allocations!$E$5:$E$1700,Allocations!$B$5:$B$1700,"&gt;7",Allocations!$B$5:$B$1700,"&lt;=11",Allocations!$F$5:$F$1700,"LP",Allocations!$D$5:$D$1700,"Management fee")+SUMIFS(Allocations!$E$5:$E$1700,Allocations!$B$5:$B$1700,"&gt;7",Allocations!$B$5:$B$1700,"&lt;=11",Allocations!$F$5:$F$1700,"LP",Allocations!$D$5:$D$1700,"Other fund expenses"))/D7)</f>
        <v>3.626641787872565E-2</v>
      </c>
      <c r="E10" s="34">
        <f>IF(E7=0,0,-(SUMIFS(Allocations!$E$5:$E$1700,Allocations!$B$5:$B$1700,"&gt;11",Allocations!$B$5:$B$1700,"&lt;=15",Allocations!$F$5:$F$1700,"LP",Allocations!$D$5:$D$1700,"Management fee")+SUMIFS(Allocations!$E$5:$E$1700,Allocations!$B$5:$B$1700,"&gt;11",Allocations!$B$5:$B$1700,"&lt;=15",Allocations!$F$5:$F$1700,"LP",Allocations!$D$5:$D$1700,"Other fund expenses"))/E7)</f>
        <v>2.6461182877397991E-2</v>
      </c>
      <c r="F10" s="34">
        <f>IF(F7=0,0,-(SUMIFS(Allocations!$E$5:$E$1700,Allocations!$B$5:$B$1700,"&gt;15",Allocations!$B$5:$B$1700,"&lt;=19",Allocations!$F$5:$F$1700,"LP",Allocations!$D$5:$D$1700,"Management fee")+SUMIFS(Allocations!$E$5:$E$1700,Allocations!$B$5:$B$1700,"&gt;15",Allocations!$B$5:$B$1700,"&lt;=19",Allocations!$F$5:$F$1700,"LP",Allocations!$D$5:$D$1700,"Other fund expenses"))/F7)</f>
        <v>2.2484833969560504E-2</v>
      </c>
      <c r="G10" s="34">
        <f>IF(G7=0,0,-(SUMIFS(Allocations!$E$5:$E$1700,Allocations!$B$5:$B$1700,"&gt;19",Allocations!$B$5:$B$1700,"&lt;=23",Allocations!$F$5:$F$1700,"LP",Allocations!$D$5:$D$1700,"Management fee")+SUMIFS(Allocations!$E$5:$E$1700,Allocations!$B$5:$B$1700,"&gt;19",Allocations!$B$5:$B$1700,"&lt;=23",Allocations!$F$5:$F$1700,"LP",Allocations!$D$5:$D$1700,"Other fund expenses"))/G7)</f>
        <v>2.5339550441298857E-2</v>
      </c>
      <c r="H10" s="34">
        <f>IF(H7=0,0,-(SUMIFS(Allocations!$E$5:$E$1700,Allocations!$B$5:$B$1700,"&gt;23",Allocations!$B$5:$B$1700,"&lt;=27",Allocations!$F$5:$F$1700,"LP",Allocations!$D$5:$D$1700,"Management fee")+SUMIFS(Allocations!$E$5:$E$1700,Allocations!$B$5:$B$1700,"&gt;23",Allocations!$B$5:$B$1700,"&lt;=27",Allocations!$F$5:$F$1700,"LP",Allocations!$D$5:$D$1700,"Other fund expenses"))/H7)</f>
        <v>2.5296628197517986E-2</v>
      </c>
      <c r="I10" s="34">
        <f>IF(I7=0,0,-(SUMIFS(Allocations!$E$5:$E$1700,Allocations!$B$5:$B$1700,"&gt;27",Allocations!$B$5:$B$1700,"&lt;=31",Allocations!$F$5:$F$1700,"LP",Allocations!$D$5:$D$1700,"Management fee")+SUMIFS(Allocations!$E$5:$E$1700,Allocations!$B$5:$B$1700,"&gt;27",Allocations!$B$5:$B$1700,"&lt;=31",Allocations!$F$5:$F$1700,"LP",Allocations!$D$5:$D$1700,"Other fund expenses"))/I7)</f>
        <v>1.6544552021920105E-2</v>
      </c>
      <c r="J10" s="34">
        <f>IF(J7=0,0,-(SUMIFS(Allocations!$E$5:$E$1700,Allocations!$B$5:$B$1700,"&gt;31",Allocations!$B$5:$B$1700,"&lt;=35",Allocations!$F$5:$F$1700,"LP",Allocations!$D$5:$D$1700,"Management fee")+SUMIFS(Allocations!$E$5:$E$1700,Allocations!$B$5:$B$1700,"&gt;31",Allocations!$B$5:$B$1700,"&lt;=35",Allocations!$F$5:$F$1700,"LP",Allocations!$D$5:$D$1700,"Other fund expenses"))/J7)</f>
        <v>1.5069817830118289E-2</v>
      </c>
      <c r="K10" s="34">
        <f>IF(K7=0,0,-(SUMIFS(Allocations!$E$5:$E$1700,Allocations!$B$5:$B$1700,"&gt;35",Allocations!$B$5:$B$1700,"&lt;=39",Allocations!$F$5:$F$1700,"LP",Allocations!$D$5:$D$1700,"Management fee")+SUMIFS(Allocations!$E$5:$E$1700,Allocations!$B$5:$B$1700,"&gt;35",Allocations!$B$5:$B$1700,"&lt;=39",Allocations!$F$5:$F$1700,"LP",Allocations!$D$5:$D$1700,"Other fund expenses"))/K7)</f>
        <v>1.8263171195510391E-2</v>
      </c>
      <c r="L10" s="34">
        <f>IF(L7=0,0,-(SUMIFS(Allocations!$E$5:$E$1700,Allocations!$B$5:$B$1700,"&gt;39",Allocations!$B$5:$B$1700,"&lt;=43",Allocations!$F$5:$F$1700,"LP",Allocations!$D$5:$D$1700,"Management fee")+SUMIFS(Allocations!$E$5:$E$1700,Allocations!$B$5:$B$1700,"&gt;39",Allocations!$B$5:$B$1700,"&lt;=43",Allocations!$F$5:$F$1700,"LP",Allocations!$D$5:$D$1700,"Other fund expenses"))/L7)</f>
        <v>3.0220402000831311E-2</v>
      </c>
      <c r="M10" s="34">
        <f>IF(M7=0,0,-(SUMIFS(Allocations!$E$5:$E$1700,Allocations!$B$5:$B$1700,"&gt;43",Allocations!$B$5:$B$1700,"&lt;=45",Allocations!$F$5:$F$1700,"LP",Allocations!$D$5:$D$1700,"Management fee")+SUMIFS(Allocations!$E$5:$E$1700,Allocations!$B$5:$B$1700,"&gt;43",Allocations!$B$5:$B$1700,"&lt;=45",Allocations!$F$5:$F$1700,"LP",Allocations!$D$5:$D$1700,"Other fund expenses"))/M7)</f>
        <v>0.24405641346353435</v>
      </c>
    </row>
    <row r="11" spans="1:13" x14ac:dyDescent="0.25">
      <c r="A11" s="8" t="s">
        <v>374</v>
      </c>
      <c r="B11" s="34">
        <f>IF(B7=0,0,-(SUMIFS(Allocations!$E$5:$E$1700,Allocations!$B$5:$B$1700,"&gt;-1",Allocations!$B$5:$B$1700,"&lt;=3",Allocations!$F$5:$F$1700,"LP",Allocations!$D$5:$D$1700,"Carried interest"))/B7)</f>
        <v>0</v>
      </c>
      <c r="C11" s="34">
        <f>IF(C7=0,0,-(SUMIFS(Allocations!$E$5:$E$1700,Allocations!$B$5:$B$1700,"&gt;3",Allocations!$B$5:$B$1700,"&lt;=7",Allocations!$F$5:$F$1700,"LP",Allocations!$D$5:$D$1700,"Carried interest"))/C7)</f>
        <v>0</v>
      </c>
      <c r="D11" s="34">
        <f>IF(D7=0,0,-(SUMIFS(Allocations!$E$5:$E$1700,Allocations!$B$5:$B$1700,"&gt;7",Allocations!$B$5:$B$1700,"&lt;=11",Allocations!$F$5:$F$1700,"LP",Allocations!$D$5:$D$1700,"Carried interest"))/D7)</f>
        <v>3.2502545852978612E-2</v>
      </c>
      <c r="E11" s="34">
        <f>IF(E7=0,0,-(SUMIFS(Allocations!$E$5:$E$1700,Allocations!$B$5:$B$1700,"&gt;11",Allocations!$B$5:$B$1700,"&lt;=15",Allocations!$F$5:$F$1700,"LP",Allocations!$D$5:$D$1700,"Carried interest"))/E7)</f>
        <v>-2.3949429882191457E-2</v>
      </c>
      <c r="F11" s="34">
        <f>IF(F7=0,0,-(SUMIFS(Allocations!$E$5:$E$1700,Allocations!$B$5:$B$1700,"&gt;15",Allocations!$B$5:$B$1700,"&lt;=19",Allocations!$F$5:$F$1700,"LP",Allocations!$D$5:$D$1700,"Carried interest"))/F7)</f>
        <v>0</v>
      </c>
      <c r="G11" s="34">
        <f>IF(G7=0,0,-(SUMIFS(Allocations!$E$5:$E$1700,Allocations!$B$5:$B$1700,"&gt;19",Allocations!$B$5:$B$1700,"&lt;=23",Allocations!$F$5:$F$1700,"LP",Allocations!$D$5:$D$1700,"Carried interest"))/G7)</f>
        <v>8.8801066809031493E-2</v>
      </c>
      <c r="H11" s="34">
        <f>IF(H7=0,0,-(SUMIFS(Allocations!$E$5:$E$1700,Allocations!$B$5:$B$1700,"&gt;23",Allocations!$B$5:$B$1700,"&lt;=27",Allocations!$F$5:$F$1700,"LP",Allocations!$D$5:$D$1700,"Carried interest"))/H7)</f>
        <v>1.7968105721757482E-2</v>
      </c>
      <c r="I11" s="34">
        <f>IF(I7=0,0,-(SUMIFS(Allocations!$E$5:$E$1700,Allocations!$B$5:$B$1700,"&gt;27",Allocations!$B$5:$B$1700,"&lt;=31",Allocations!$F$5:$F$1700,"LP",Allocations!$D$5:$D$1700,"Carried interest"))/I7)</f>
        <v>1.9063935313476228E-2</v>
      </c>
      <c r="J11" s="34">
        <f>IF(J7=0,0,-(SUMIFS(Allocations!$E$5:$E$1700,Allocations!$B$5:$B$1700,"&gt;31",Allocations!$B$5:$B$1700,"&lt;=35",Allocations!$F$5:$F$1700,"LP",Allocations!$D$5:$D$1700,"Carried interest"))/J7)</f>
        <v>6.1238010723433406E-2</v>
      </c>
      <c r="K11" s="34">
        <f>IF(K7=0,0,-(SUMIFS(Allocations!$E$5:$E$1700,Allocations!$B$5:$B$1700,"&gt;35",Allocations!$B$5:$B$1700,"&lt;=39",Allocations!$F$5:$F$1700,"LP",Allocations!$D$5:$D$1700,"Carried interest"))/K7)</f>
        <v>4.1344621912137731E-2</v>
      </c>
      <c r="L11" s="34">
        <f>IF(L7=0,0,-(SUMIFS(Allocations!$E$5:$E$1700,Allocations!$B$5:$B$1700,"&gt;39",Allocations!$B$5:$B$1700,"&lt;=43",Allocations!$F$5:$F$1700,"LP",Allocations!$D$5:$D$1700,"Carried interest"))/L7)</f>
        <v>0.14853817115290605</v>
      </c>
      <c r="M11" s="34">
        <f>IF(M7=0,0,-(SUMIFS(Allocations!$E$5:$E$1700,Allocations!$B$5:$B$1700,"&gt;43",Allocations!$B$5:$B$1700,"&lt;=45",Allocations!$F$5:$F$1700,"LP",Allocations!$D$5:$D$1700,"Carried interest"))/M7)</f>
        <v>-4.8910794955767389E-2</v>
      </c>
    </row>
    <row r="12" spans="1:13" x14ac:dyDescent="0.25">
      <c r="A12" s="8" t="s">
        <v>375</v>
      </c>
      <c r="B12" s="34">
        <f>IF(B7=0,0,(-(SUMIFS(Allocations!$E$5:$E$1700,Allocations!$B$5:$B$1700,"&gt;-1",Allocations!$B$5:$B$1700,"&lt;=3",Allocations!$F$5:$F$1700,"LP",Allocations!$D$5:$D$1700,"Management fee")+SUMIFS(Allocations!$E$5:$E$1700,Allocations!$B$5:$B$1700,"&gt;-1",Allocations!$B$5:$B$1700,"&lt;=3",Allocations!$F$5:$F$1700,"LP",Allocations!$D$5:$D$1700,"Other fund expenses"))+-(SUMIFS(Allocations!$E$5:$E$1700,Allocations!$B$5:$B$1700,"&gt;-1",Allocations!$B$5:$B$1700,"&lt;=3",Allocations!$F$5:$F$1700,"LP",Allocations!$D$5:$D$1700,"Carried interest")))/B7)</f>
        <v>0.19928618974293036</v>
      </c>
      <c r="C12" s="34">
        <f>IF(C7=0,0,(-(SUMIFS(Allocations!$E$5:$E$1700,Allocations!$B$5:$B$1700,"&gt;3",Allocations!$B$5:$B$1700,"&lt;=7",Allocations!$F$5:$F$1700,"LP",Allocations!$D$5:$D$1700,"Management fee")+SUMIFS(Allocations!$E$5:$E$1700,Allocations!$B$5:$B$1700,"&gt;3",Allocations!$B$5:$B$1700,"&lt;=7",Allocations!$F$5:$F$1700,"LP",Allocations!$D$5:$D$1700,"Other fund expenses"))+-(SUMIFS(Allocations!$E$5:$E$1700,Allocations!$B$5:$B$1700,"&gt;3",Allocations!$B$5:$B$1700,"&lt;=7",Allocations!$F$5:$F$1700,"LP",Allocations!$D$5:$D$1700,"Carried interest")))/C7)</f>
        <v>6.965854293606244E-2</v>
      </c>
      <c r="D12" s="34">
        <f>IF(D7=0,0,(-(SUMIFS(Allocations!$E$5:$E$1700,Allocations!$B$5:$B$1700,"&gt;7",Allocations!$B$5:$B$1700,"&lt;=11",Allocations!$F$5:$F$1700,"LP",Allocations!$D$5:$D$1700,"Management fee")+SUMIFS(Allocations!$E$5:$E$1700,Allocations!$B$5:$B$1700,"&gt;7",Allocations!$B$5:$B$1700,"&lt;=11",Allocations!$F$5:$F$1700,"LP",Allocations!$D$5:$D$1700,"Other fund expenses"))+-(SUMIFS(Allocations!$E$5:$E$1700,Allocations!$B$5:$B$1700,"&gt;7",Allocations!$B$5:$B$1700,"&lt;=11",Allocations!$F$5:$F$1700,"LP",Allocations!$D$5:$D$1700,"Carried interest")))/D7)</f>
        <v>6.8768963731704269E-2</v>
      </c>
      <c r="E12" s="34">
        <f>IF(E7=0,0,(-(SUMIFS(Allocations!$E$5:$E$1700,Allocations!$B$5:$B$1700,"&gt;11",Allocations!$B$5:$B$1700,"&lt;=15",Allocations!$F$5:$F$1700,"LP",Allocations!$D$5:$D$1700,"Management fee")+SUMIFS(Allocations!$E$5:$E$1700,Allocations!$B$5:$B$1700,"&gt;11",Allocations!$B$5:$B$1700,"&lt;=15",Allocations!$F$5:$F$1700,"LP",Allocations!$D$5:$D$1700,"Other fund expenses"))+-(SUMIFS(Allocations!$E$5:$E$1700,Allocations!$B$5:$B$1700,"&gt;11",Allocations!$B$5:$B$1700,"&lt;=15",Allocations!$F$5:$F$1700,"LP",Allocations!$D$5:$D$1700,"Carried interest")))/E7)</f>
        <v>2.5117529952065347E-3</v>
      </c>
      <c r="F12" s="34">
        <f>IF(F7=0,0,(-(SUMIFS(Allocations!$E$5:$E$1700,Allocations!$B$5:$B$1700,"&gt;15",Allocations!$B$5:$B$1700,"&lt;=19",Allocations!$F$5:$F$1700,"LP",Allocations!$D$5:$D$1700,"Management fee")+SUMIFS(Allocations!$E$5:$E$1700,Allocations!$B$5:$B$1700,"&gt;15",Allocations!$B$5:$B$1700,"&lt;=19",Allocations!$F$5:$F$1700,"LP",Allocations!$D$5:$D$1700,"Other fund expenses"))+-(SUMIFS(Allocations!$E$5:$E$1700,Allocations!$B$5:$B$1700,"&gt;15",Allocations!$B$5:$B$1700,"&lt;=19",Allocations!$F$5:$F$1700,"LP",Allocations!$D$5:$D$1700,"Carried interest")))/F7)</f>
        <v>2.2484833969560504E-2</v>
      </c>
      <c r="G12" s="34">
        <f>IF(G7=0,0,(-(SUMIFS(Allocations!$E$5:$E$1700,Allocations!$B$5:$B$1700,"&gt;19",Allocations!$B$5:$B$1700,"&lt;=23",Allocations!$F$5:$F$1700,"LP",Allocations!$D$5:$D$1700,"Management fee")+SUMIFS(Allocations!$E$5:$E$1700,Allocations!$B$5:$B$1700,"&gt;19",Allocations!$B$5:$B$1700,"&lt;=23",Allocations!$F$5:$F$1700,"LP",Allocations!$D$5:$D$1700,"Other fund expenses"))+-(SUMIFS(Allocations!$E$5:$E$1700,Allocations!$B$5:$B$1700,"&gt;19",Allocations!$B$5:$B$1700,"&lt;=23",Allocations!$F$5:$F$1700,"LP",Allocations!$D$5:$D$1700,"Carried interest")))/G7)</f>
        <v>0.11414061725033034</v>
      </c>
      <c r="H12" s="34">
        <f>IF(H7=0,0,(-(SUMIFS(Allocations!$E$5:$E$1700,Allocations!$B$5:$B$1700,"&gt;23",Allocations!$B$5:$B$1700,"&lt;=27",Allocations!$F$5:$F$1700,"LP",Allocations!$D$5:$D$1700,"Management fee")+SUMIFS(Allocations!$E$5:$E$1700,Allocations!$B$5:$B$1700,"&gt;23",Allocations!$B$5:$B$1700,"&lt;=27",Allocations!$F$5:$F$1700,"LP",Allocations!$D$5:$D$1700,"Other fund expenses"))+-(SUMIFS(Allocations!$E$5:$E$1700,Allocations!$B$5:$B$1700,"&gt;23",Allocations!$B$5:$B$1700,"&lt;=27",Allocations!$F$5:$F$1700,"LP",Allocations!$D$5:$D$1700,"Carried interest")))/H7)</f>
        <v>4.3264733919275468E-2</v>
      </c>
      <c r="I12" s="34">
        <f>IF(I7=0,0,(-(SUMIFS(Allocations!$E$5:$E$1700,Allocations!$B$5:$B$1700,"&gt;27",Allocations!$B$5:$B$1700,"&lt;=31",Allocations!$F$5:$F$1700,"LP",Allocations!$D$5:$D$1700,"Management fee")+SUMIFS(Allocations!$E$5:$E$1700,Allocations!$B$5:$B$1700,"&gt;27",Allocations!$B$5:$B$1700,"&lt;=31",Allocations!$F$5:$F$1700,"LP",Allocations!$D$5:$D$1700,"Other fund expenses"))+-(SUMIFS(Allocations!$E$5:$E$1700,Allocations!$B$5:$B$1700,"&gt;27",Allocations!$B$5:$B$1700,"&lt;=31",Allocations!$F$5:$F$1700,"LP",Allocations!$D$5:$D$1700,"Carried interest")))/I7)</f>
        <v>3.560848733539633E-2</v>
      </c>
      <c r="J12" s="34">
        <f>IF(J7=0,0,(-(SUMIFS(Allocations!$E$5:$E$1700,Allocations!$B$5:$B$1700,"&gt;31",Allocations!$B$5:$B$1700,"&lt;=35",Allocations!$F$5:$F$1700,"LP",Allocations!$D$5:$D$1700,"Management fee")+SUMIFS(Allocations!$E$5:$E$1700,Allocations!$B$5:$B$1700,"&gt;31",Allocations!$B$5:$B$1700,"&lt;=35",Allocations!$F$5:$F$1700,"LP",Allocations!$D$5:$D$1700,"Other fund expenses"))+-(SUMIFS(Allocations!$E$5:$E$1700,Allocations!$B$5:$B$1700,"&gt;31",Allocations!$B$5:$B$1700,"&lt;=35",Allocations!$F$5:$F$1700,"LP",Allocations!$D$5:$D$1700,"Carried interest")))/J7)</f>
        <v>7.6307828553551699E-2</v>
      </c>
      <c r="K12" s="34">
        <f>IF(K7=0,0,(-(SUMIFS(Allocations!$E$5:$E$1700,Allocations!$B$5:$B$1700,"&gt;35",Allocations!$B$5:$B$1700,"&lt;=39",Allocations!$F$5:$F$1700,"LP",Allocations!$D$5:$D$1700,"Management fee")+SUMIFS(Allocations!$E$5:$E$1700,Allocations!$B$5:$B$1700,"&gt;35",Allocations!$B$5:$B$1700,"&lt;=39",Allocations!$F$5:$F$1700,"LP",Allocations!$D$5:$D$1700,"Other fund expenses"))+-(SUMIFS(Allocations!$E$5:$E$1700,Allocations!$B$5:$B$1700,"&gt;35",Allocations!$B$5:$B$1700,"&lt;=39",Allocations!$F$5:$F$1700,"LP",Allocations!$D$5:$D$1700,"Carried interest")))/K7)</f>
        <v>5.9607793107648119E-2</v>
      </c>
      <c r="L12" s="34">
        <f>IF(L7=0,0,(-(SUMIFS(Allocations!$E$5:$E$1700,Allocations!$B$5:$B$1700,"&gt;39",Allocations!$B$5:$B$1700,"&lt;=43",Allocations!$F$5:$F$1700,"LP",Allocations!$D$5:$D$1700,"Management fee")+SUMIFS(Allocations!$E$5:$E$1700,Allocations!$B$5:$B$1700,"&gt;39",Allocations!$B$5:$B$1700,"&lt;=43",Allocations!$F$5:$F$1700,"LP",Allocations!$D$5:$D$1700,"Other fund expenses"))+-(SUMIFS(Allocations!$E$5:$E$1700,Allocations!$B$5:$B$1700,"&gt;39",Allocations!$B$5:$B$1700,"&lt;=43",Allocations!$F$5:$F$1700,"LP",Allocations!$D$5:$D$1700,"Carried interest")))/L7)</f>
        <v>0.17875857315373736</v>
      </c>
      <c r="M12" s="34">
        <f>IF(M7=0,0,(-(SUMIFS(Allocations!$E$5:$E$1700,Allocations!$B$5:$B$1700,"&gt;43",Allocations!$B$5:$B$1700,"&lt;=45",Allocations!$F$5:$F$1700,"LP",Allocations!$D$5:$D$1700,"Management fee")+SUMIFS(Allocations!$E$5:$E$1700,Allocations!$B$5:$B$1700,"&gt;43",Allocations!$B$5:$B$1700,"&lt;=45",Allocations!$F$5:$F$1700,"LP",Allocations!$D$5:$D$1700,"Other fund expenses"))+-(SUMIFS(Allocations!$E$5:$E$1700,Allocations!$B$5:$B$1700,"&gt;43",Allocations!$B$5:$B$1700,"&lt;=45",Allocations!$F$5:$F$1700,"LP",Allocations!$D$5:$D$1700,"Carried interest")))/M7)</f>
        <v>0.19514561850776696</v>
      </c>
    </row>
    <row r="13" spans="1:13" x14ac:dyDescent="0.25">
      <c r="A13" s="8" t="s">
        <v>376</v>
      </c>
      <c r="B13" s="34">
        <f>IF(B7=0,0,(SUMIFS(Allocations!$E$5:$E$1700,Allocations!$B$5:$B$1700,"&gt;-1",Allocations!$B$5:$B$1700,"&lt;=3",Allocations!$F$5:$F$1700,"LP",Allocations!$D$5:$D$1700,"Investment income")-(-(SUMIFS(Allocations!$E$5:$E$1700,Allocations!$B$5:$B$1700,"&gt;-1",Allocations!$B$5:$B$1700,"&lt;=3",Allocations!$F$5:$F$1700,"LP",Allocations!$D$5:$D$1700,"Management fee")+SUMIFS(Allocations!$E$5:$E$1700,Allocations!$B$5:$B$1700,"&gt;-1",Allocations!$B$5:$B$1700,"&lt;=3",Allocations!$F$5:$F$1700,"LP",Allocations!$D$5:$D$1700,"Other fund expenses"))))/B7)</f>
        <v>-0.19928618974293036</v>
      </c>
      <c r="C13" s="34">
        <f>IF(C7=0,0,(SUMIFS(Allocations!$E$5:$E$1700,Allocations!$B$5:$B$1700,"&gt;3",Allocations!$B$5:$B$1700,"&lt;=7",Allocations!$F$5:$F$1700,"LP",Allocations!$D$5:$D$1700,"Investment income")-(-(SUMIFS(Allocations!$E$5:$E$1700,Allocations!$B$5:$B$1700,"&gt;3",Allocations!$B$5:$B$1700,"&lt;=7",Allocations!$F$5:$F$1700,"LP",Allocations!$D$5:$D$1700,"Management fee")+SUMIFS(Allocations!$E$5:$E$1700,Allocations!$B$5:$B$1700,"&gt;3",Allocations!$B$5:$B$1700,"&lt;=7",Allocations!$F$5:$F$1700,"LP",Allocations!$D$5:$D$1700,"Other fund expenses"))))/C7)</f>
        <v>-6.965854293606244E-2</v>
      </c>
      <c r="D13" s="34">
        <f>IF(D7=0,0,(SUMIFS(Allocations!$E$5:$E$1700,Allocations!$B$5:$B$1700,"&gt;7",Allocations!$B$5:$B$1700,"&lt;=11",Allocations!$F$5:$F$1700,"LP",Allocations!$D$5:$D$1700,"Investment income")-(-(SUMIFS(Allocations!$E$5:$E$1700,Allocations!$B$5:$B$1700,"&gt;7",Allocations!$B$5:$B$1700,"&lt;=11",Allocations!$F$5:$F$1700,"LP",Allocations!$D$5:$D$1700,"Management fee")+SUMIFS(Allocations!$E$5:$E$1700,Allocations!$B$5:$B$1700,"&gt;7",Allocations!$B$5:$B$1700,"&lt;=11",Allocations!$F$5:$F$1700,"LP",Allocations!$D$5:$D$1700,"Other fund expenses"))))/D7)</f>
        <v>-3.626641787872565E-2</v>
      </c>
      <c r="E13" s="34">
        <f>IF(E7=0,0,(SUMIFS(Allocations!$E$5:$E$1700,Allocations!$B$5:$B$1700,"&gt;11",Allocations!$B$5:$B$1700,"&lt;=15",Allocations!$F$5:$F$1700,"LP",Allocations!$D$5:$D$1700,"Investment income")-(-(SUMIFS(Allocations!$E$5:$E$1700,Allocations!$B$5:$B$1700,"&gt;11",Allocations!$B$5:$B$1700,"&lt;=15",Allocations!$F$5:$F$1700,"LP",Allocations!$D$5:$D$1700,"Management fee")+SUMIFS(Allocations!$E$5:$E$1700,Allocations!$B$5:$B$1700,"&gt;11",Allocations!$B$5:$B$1700,"&lt;=15",Allocations!$F$5:$F$1700,"LP",Allocations!$D$5:$D$1700,"Other fund expenses"))))/E7)</f>
        <v>-1.980373861478359E-2</v>
      </c>
      <c r="F13" s="34">
        <f>IF(F7=0,0,(SUMIFS(Allocations!$E$5:$E$1700,Allocations!$B$5:$B$1700,"&gt;15",Allocations!$B$5:$B$1700,"&lt;=19",Allocations!$F$5:$F$1700,"LP",Allocations!$D$5:$D$1700,"Investment income")-(-(SUMIFS(Allocations!$E$5:$E$1700,Allocations!$B$5:$B$1700,"&gt;15",Allocations!$B$5:$B$1700,"&lt;=19",Allocations!$F$5:$F$1700,"LP",Allocations!$D$5:$D$1700,"Management fee")+SUMIFS(Allocations!$E$5:$E$1700,Allocations!$B$5:$B$1700,"&gt;15",Allocations!$B$5:$B$1700,"&lt;=19",Allocations!$F$5:$F$1700,"LP",Allocations!$D$5:$D$1700,"Other fund expenses"))))/F7)</f>
        <v>-1.4117874874559667E-2</v>
      </c>
      <c r="G13" s="34">
        <f>IF(G7=0,0,(SUMIFS(Allocations!$E$5:$E$1700,Allocations!$B$5:$B$1700,"&gt;19",Allocations!$B$5:$B$1700,"&lt;=23",Allocations!$F$5:$F$1700,"LP",Allocations!$D$5:$D$1700,"Investment income")-(-(SUMIFS(Allocations!$E$5:$E$1700,Allocations!$B$5:$B$1700,"&gt;19",Allocations!$B$5:$B$1700,"&lt;=23",Allocations!$F$5:$F$1700,"LP",Allocations!$D$5:$D$1700,"Management fee")+SUMIFS(Allocations!$E$5:$E$1700,Allocations!$B$5:$B$1700,"&gt;19",Allocations!$B$5:$B$1700,"&lt;=23",Allocations!$F$5:$F$1700,"LP",Allocations!$D$5:$D$1700,"Other fund expenses"))))/G7)</f>
        <v>-1.5032598507283886E-2</v>
      </c>
      <c r="H13" s="34">
        <f>IF(H7=0,0,(SUMIFS(Allocations!$E$5:$E$1700,Allocations!$B$5:$B$1700,"&gt;23",Allocations!$B$5:$B$1700,"&lt;=27",Allocations!$F$5:$F$1700,"LP",Allocations!$D$5:$D$1700,"Investment income")-(-(SUMIFS(Allocations!$E$5:$E$1700,Allocations!$B$5:$B$1700,"&gt;23",Allocations!$B$5:$B$1700,"&lt;=27",Allocations!$F$5:$F$1700,"LP",Allocations!$D$5:$D$1700,"Management fee")+SUMIFS(Allocations!$E$5:$E$1700,Allocations!$B$5:$B$1700,"&gt;23",Allocations!$B$5:$B$1700,"&lt;=27",Allocations!$F$5:$F$1700,"LP",Allocations!$D$5:$D$1700,"Other fund expenses"))))/H7)</f>
        <v>-1.0346746544734683E-2</v>
      </c>
      <c r="I13" s="34">
        <f>IF(I7=0,0,(SUMIFS(Allocations!$E$5:$E$1700,Allocations!$B$5:$B$1700,"&gt;27",Allocations!$B$5:$B$1700,"&lt;=31",Allocations!$F$5:$F$1700,"LP",Allocations!$D$5:$D$1700,"Investment income")-(-(SUMIFS(Allocations!$E$5:$E$1700,Allocations!$B$5:$B$1700,"&gt;27",Allocations!$B$5:$B$1700,"&lt;=31",Allocations!$F$5:$F$1700,"LP",Allocations!$D$5:$D$1700,"Management fee")+SUMIFS(Allocations!$E$5:$E$1700,Allocations!$B$5:$B$1700,"&gt;27",Allocations!$B$5:$B$1700,"&lt;=31",Allocations!$F$5:$F$1700,"LP",Allocations!$D$5:$D$1700,"Other fund expenses"))))/I7)</f>
        <v>2.4704334943322526E-4</v>
      </c>
      <c r="J13" s="34">
        <f>IF(J7=0,0,(SUMIFS(Allocations!$E$5:$E$1700,Allocations!$B$5:$B$1700,"&gt;31",Allocations!$B$5:$B$1700,"&lt;=35",Allocations!$F$5:$F$1700,"LP",Allocations!$D$5:$D$1700,"Investment income")-(-(SUMIFS(Allocations!$E$5:$E$1700,Allocations!$B$5:$B$1700,"&gt;31",Allocations!$B$5:$B$1700,"&lt;=35",Allocations!$F$5:$F$1700,"LP",Allocations!$D$5:$D$1700,"Management fee")+SUMIFS(Allocations!$E$5:$E$1700,Allocations!$B$5:$B$1700,"&gt;31",Allocations!$B$5:$B$1700,"&lt;=35",Allocations!$F$5:$F$1700,"LP",Allocations!$D$5:$D$1700,"Other fund expenses"))))/J7)</f>
        <v>6.4110602051330083E-3</v>
      </c>
      <c r="K13" s="34">
        <f>IF(K7=0,0,(SUMIFS(Allocations!$E$5:$E$1700,Allocations!$B$5:$B$1700,"&gt;35",Allocations!$B$5:$B$1700,"&lt;=39",Allocations!$F$5:$F$1700,"LP",Allocations!$D$5:$D$1700,"Investment income")-(-(SUMIFS(Allocations!$E$5:$E$1700,Allocations!$B$5:$B$1700,"&gt;35",Allocations!$B$5:$B$1700,"&lt;=39",Allocations!$F$5:$F$1700,"LP",Allocations!$D$5:$D$1700,"Management fee")+SUMIFS(Allocations!$E$5:$E$1700,Allocations!$B$5:$B$1700,"&gt;35",Allocations!$B$5:$B$1700,"&lt;=39",Allocations!$F$5:$F$1700,"LP",Allocations!$D$5:$D$1700,"Other fund expenses"))))/K7)</f>
        <v>1.4530203270105617E-2</v>
      </c>
      <c r="L13" s="34">
        <f>IF(L7=0,0,(SUMIFS(Allocations!$E$5:$E$1700,Allocations!$B$5:$B$1700,"&gt;39",Allocations!$B$5:$B$1700,"&lt;=43",Allocations!$F$5:$F$1700,"LP",Allocations!$D$5:$D$1700,"Investment income")-(-(SUMIFS(Allocations!$E$5:$E$1700,Allocations!$B$5:$B$1700,"&gt;39",Allocations!$B$5:$B$1700,"&lt;=43",Allocations!$F$5:$F$1700,"LP",Allocations!$D$5:$D$1700,"Management fee")+SUMIFS(Allocations!$E$5:$E$1700,Allocations!$B$5:$B$1700,"&gt;39",Allocations!$B$5:$B$1700,"&lt;=43",Allocations!$F$5:$F$1700,"LP",Allocations!$D$5:$D$1700,"Other fund expenses"))))/L7)</f>
        <v>-3.0220402000831311E-2</v>
      </c>
      <c r="M13" s="34">
        <f>IF(M7=0,0,(SUMIFS(Allocations!$E$5:$E$1700,Allocations!$B$5:$B$1700,"&gt;43",Allocations!$B$5:$B$1700,"&lt;=45",Allocations!$F$5:$F$1700,"LP",Allocations!$D$5:$D$1700,"Investment income")-(-(SUMIFS(Allocations!$E$5:$E$1700,Allocations!$B$5:$B$1700,"&gt;43",Allocations!$B$5:$B$1700,"&lt;=45",Allocations!$F$5:$F$1700,"LP",Allocations!$D$5:$D$1700,"Management fee")+SUMIFS(Allocations!$E$5:$E$1700,Allocations!$B$5:$B$1700,"&gt;43",Allocations!$B$5:$B$1700,"&lt;=45",Allocations!$F$5:$F$1700,"LP",Allocations!$D$5:$D$1700,"Other fund expenses"))))/M7)</f>
        <v>-0.24405641346353435</v>
      </c>
    </row>
    <row r="14" spans="1:13" x14ac:dyDescent="0.25">
      <c r="A14" s="6"/>
    </row>
    <row r="15" spans="1:13" x14ac:dyDescent="0.25">
      <c r="A15" s="8" t="s">
        <v>377</v>
      </c>
      <c r="B15" s="27"/>
      <c r="C15" s="27"/>
      <c r="D15" s="27"/>
      <c r="E15" s="27"/>
      <c r="F15" s="27"/>
      <c r="G15" s="27"/>
      <c r="H15" s="27"/>
      <c r="I15" s="27"/>
      <c r="J15" s="27"/>
      <c r="K15" s="27"/>
      <c r="L15" s="27"/>
      <c r="M15" s="27"/>
    </row>
    <row r="16" spans="1:13" x14ac:dyDescent="0.25">
      <c r="A16" s="8" t="s">
        <v>378</v>
      </c>
      <c r="B16" s="34">
        <f>IF(B7=0,0,(SUMIFS(Allocations!$E$5:$E$1700,Allocations!$B$5:$B$1700,"&gt;-1",Allocations!$B$5:$B$1700,"&lt;=3",Allocations!$F$5:$F$1700,"LP",Allocations!$D$5:$D$1700,"Investment income")-(-(SUMIFS(Allocations!$E$5:$E$1700,Allocations!$B$5:$B$1700,"&gt;-1",Allocations!$B$5:$B$1700,"&lt;=3",Allocations!$F$5:$F$1700,"LP",Allocations!$D$5:$D$1700,"Management fee")+SUMIFS(Allocations!$E$5:$E$1700,Allocations!$B$5:$B$1700,"&gt;-1",Allocations!$B$5:$B$1700,"&lt;=3",Allocations!$F$5:$F$1700,"LP",Allocations!$D$5:$D$1700,"Other fund expenses")))+SUMIFS(Allocations!$E$5:$E$1700,Allocations!$B$5:$B$1700,"&gt;-1",Allocations!$B$5:$B$1700,"&lt;=3",Allocations!$F$5:$F$1700,"LP",Allocations!$D$5:$D$1700,"Realized gain/(loss)")+SUMIFS(Allocations!$E$5:$E$1700,Allocations!$B$5:$B$1700,"&gt;-1",Allocations!$B$5:$B$1700,"&lt;=3",Allocations!$F$5:$F$1700,"LP",Allocations!$D$5:$D$1700,"Change in unrealized"))/B7)</f>
        <v>-0.13071970929860913</v>
      </c>
      <c r="C16" s="34">
        <f>IF(C7=0,0,(SUMIFS(Allocations!$E$5:$E$1700,Allocations!$B$5:$B$1700,"&gt;3",Allocations!$B$5:$B$1700,"&lt;=7",Allocations!$F$5:$F$1700,"LP",Allocations!$D$5:$D$1700,"Investment income")-(-(SUMIFS(Allocations!$E$5:$E$1700,Allocations!$B$5:$B$1700,"&gt;3",Allocations!$B$5:$B$1700,"&lt;=7",Allocations!$F$5:$F$1700,"LP",Allocations!$D$5:$D$1700,"Management fee")+SUMIFS(Allocations!$E$5:$E$1700,Allocations!$B$5:$B$1700,"&gt;3",Allocations!$B$5:$B$1700,"&lt;=7",Allocations!$F$5:$F$1700,"LP",Allocations!$D$5:$D$1700,"Other fund expenses")))+SUMIFS(Allocations!$E$5:$E$1700,Allocations!$B$5:$B$1700,"&gt;3",Allocations!$B$5:$B$1700,"&lt;=7",Allocations!$F$5:$F$1700,"LP",Allocations!$D$5:$D$1700,"Realized gain/(loss)")+SUMIFS(Allocations!$E$5:$E$1700,Allocations!$B$5:$B$1700,"&gt;3",Allocations!$B$5:$B$1700,"&lt;=7",Allocations!$F$5:$F$1700,"LP",Allocations!$D$5:$D$1700,"Change in unrealized"))/C7)</f>
        <v>3.0622864286191608E-2</v>
      </c>
      <c r="D16" s="34">
        <f>IF(D7=0,0,(SUMIFS(Allocations!$E$5:$E$1700,Allocations!$B$5:$B$1700,"&gt;7",Allocations!$B$5:$B$1700,"&lt;=11",Allocations!$F$5:$F$1700,"LP",Allocations!$D$5:$D$1700,"Investment income")-(-(SUMIFS(Allocations!$E$5:$E$1700,Allocations!$B$5:$B$1700,"&gt;7",Allocations!$B$5:$B$1700,"&lt;=11",Allocations!$F$5:$F$1700,"LP",Allocations!$D$5:$D$1700,"Management fee")+SUMIFS(Allocations!$E$5:$E$1700,Allocations!$B$5:$B$1700,"&gt;7",Allocations!$B$5:$B$1700,"&lt;=11",Allocations!$F$5:$F$1700,"LP",Allocations!$D$5:$D$1700,"Other fund expenses")))+SUMIFS(Allocations!$E$5:$E$1700,Allocations!$B$5:$B$1700,"&gt;7",Allocations!$B$5:$B$1700,"&lt;=11",Allocations!$F$5:$F$1700,"LP",Allocations!$D$5:$D$1700,"Realized gain/(loss)")+SUMIFS(Allocations!$E$5:$E$1700,Allocations!$B$5:$B$1700,"&gt;7",Allocations!$B$5:$B$1700,"&lt;=11",Allocations!$F$5:$F$1700,"LP",Allocations!$D$5:$D$1700,"Change in unrealized"))/D7)</f>
        <v>0.17252697379065657</v>
      </c>
      <c r="E16" s="34">
        <f>IF(E7=0,0,(SUMIFS(Allocations!$E$5:$E$1700,Allocations!$B$5:$B$1700,"&gt;11",Allocations!$B$5:$B$1700,"&lt;=15",Allocations!$F$5:$F$1700,"LP",Allocations!$D$5:$D$1700,"Investment income")-(-(SUMIFS(Allocations!$E$5:$E$1700,Allocations!$B$5:$B$1700,"&gt;11",Allocations!$B$5:$B$1700,"&lt;=15",Allocations!$F$5:$F$1700,"LP",Allocations!$D$5:$D$1700,"Management fee")+SUMIFS(Allocations!$E$5:$E$1700,Allocations!$B$5:$B$1700,"&gt;11",Allocations!$B$5:$B$1700,"&lt;=15",Allocations!$F$5:$F$1700,"LP",Allocations!$D$5:$D$1700,"Other fund expenses")))+SUMIFS(Allocations!$E$5:$E$1700,Allocations!$B$5:$B$1700,"&gt;11",Allocations!$B$5:$B$1700,"&lt;=15",Allocations!$F$5:$F$1700,"LP",Allocations!$D$5:$D$1700,"Realized gain/(loss)")+SUMIFS(Allocations!$E$5:$E$1700,Allocations!$B$5:$B$1700,"&gt;11",Allocations!$B$5:$B$1700,"&lt;=15",Allocations!$F$5:$F$1700,"LP",Allocations!$D$5:$D$1700,"Change in unrealized"))/E7)</f>
        <v>-4.0316932529992133E-2</v>
      </c>
      <c r="F16" s="34">
        <f>IF(F7=0,0,(SUMIFS(Allocations!$E$5:$E$1700,Allocations!$B$5:$B$1700,"&gt;15",Allocations!$B$5:$B$1700,"&lt;=19",Allocations!$F$5:$F$1700,"LP",Allocations!$D$5:$D$1700,"Investment income")-(-(SUMIFS(Allocations!$E$5:$E$1700,Allocations!$B$5:$B$1700,"&gt;15",Allocations!$B$5:$B$1700,"&lt;=19",Allocations!$F$5:$F$1700,"LP",Allocations!$D$5:$D$1700,"Management fee")+SUMIFS(Allocations!$E$5:$E$1700,Allocations!$B$5:$B$1700,"&gt;15",Allocations!$B$5:$B$1700,"&lt;=19",Allocations!$F$5:$F$1700,"LP",Allocations!$D$5:$D$1700,"Other fund expenses")))+SUMIFS(Allocations!$E$5:$E$1700,Allocations!$B$5:$B$1700,"&gt;15",Allocations!$B$5:$B$1700,"&lt;=19",Allocations!$F$5:$F$1700,"LP",Allocations!$D$5:$D$1700,"Realized gain/(loss)")+SUMIFS(Allocations!$E$5:$E$1700,Allocations!$B$5:$B$1700,"&gt;15",Allocations!$B$5:$B$1700,"&lt;=19",Allocations!$F$5:$F$1700,"LP",Allocations!$D$5:$D$1700,"Change in unrealized"))/F7)</f>
        <v>0.12096970422841151</v>
      </c>
      <c r="G16" s="34">
        <f>IF(G7=0,0,(SUMIFS(Allocations!$E$5:$E$1700,Allocations!$B$5:$B$1700,"&gt;19",Allocations!$B$5:$B$1700,"&lt;=23",Allocations!$F$5:$F$1700,"LP",Allocations!$D$5:$D$1700,"Investment income")-(-(SUMIFS(Allocations!$E$5:$E$1700,Allocations!$B$5:$B$1700,"&gt;19",Allocations!$B$5:$B$1700,"&lt;=23",Allocations!$F$5:$F$1700,"LP",Allocations!$D$5:$D$1700,"Management fee")+SUMIFS(Allocations!$E$5:$E$1700,Allocations!$B$5:$B$1700,"&gt;19",Allocations!$B$5:$B$1700,"&lt;=23",Allocations!$F$5:$F$1700,"LP",Allocations!$D$5:$D$1700,"Other fund expenses")))+SUMIFS(Allocations!$E$5:$E$1700,Allocations!$B$5:$B$1700,"&gt;19",Allocations!$B$5:$B$1700,"&lt;=23",Allocations!$F$5:$F$1700,"LP",Allocations!$D$5:$D$1700,"Realized gain/(loss)")+SUMIFS(Allocations!$E$5:$E$1700,Allocations!$B$5:$B$1700,"&gt;19",Allocations!$B$5:$B$1700,"&lt;=23",Allocations!$F$5:$F$1700,"LP",Allocations!$D$5:$D$1700,"Change in unrealized"))/G7)</f>
        <v>0.23774774542297875</v>
      </c>
      <c r="H16" s="34">
        <f>IF(H7=0,0,(SUMIFS(Allocations!$E$5:$E$1700,Allocations!$B$5:$B$1700,"&gt;23",Allocations!$B$5:$B$1700,"&lt;=27",Allocations!$F$5:$F$1700,"LP",Allocations!$D$5:$D$1700,"Investment income")-(-(SUMIFS(Allocations!$E$5:$E$1700,Allocations!$B$5:$B$1700,"&gt;23",Allocations!$B$5:$B$1700,"&lt;=27",Allocations!$F$5:$F$1700,"LP",Allocations!$D$5:$D$1700,"Management fee")+SUMIFS(Allocations!$E$5:$E$1700,Allocations!$B$5:$B$1700,"&gt;23",Allocations!$B$5:$B$1700,"&lt;=27",Allocations!$F$5:$F$1700,"LP",Allocations!$D$5:$D$1700,"Other fund expenses")))+SUMIFS(Allocations!$E$5:$E$1700,Allocations!$B$5:$B$1700,"&gt;23",Allocations!$B$5:$B$1700,"&lt;=27",Allocations!$F$5:$F$1700,"LP",Allocations!$D$5:$D$1700,"Realized gain/(loss)")+SUMIFS(Allocations!$E$5:$E$1700,Allocations!$B$5:$B$1700,"&gt;23",Allocations!$B$5:$B$1700,"&lt;=27",Allocations!$F$5:$F$1700,"LP",Allocations!$D$5:$D$1700,"Change in unrealized"))/H7)</f>
        <v>8.9840776098435812E-2</v>
      </c>
      <c r="I16" s="34">
        <f>IF(I7=0,0,(SUMIFS(Allocations!$E$5:$E$1700,Allocations!$B$5:$B$1700,"&gt;27",Allocations!$B$5:$B$1700,"&lt;=31",Allocations!$F$5:$F$1700,"LP",Allocations!$D$5:$D$1700,"Investment income")-(-(SUMIFS(Allocations!$E$5:$E$1700,Allocations!$B$5:$B$1700,"&gt;27",Allocations!$B$5:$B$1700,"&lt;=31",Allocations!$F$5:$F$1700,"LP",Allocations!$D$5:$D$1700,"Management fee")+SUMIFS(Allocations!$E$5:$E$1700,Allocations!$B$5:$B$1700,"&gt;27",Allocations!$B$5:$B$1700,"&lt;=31",Allocations!$F$5:$F$1700,"LP",Allocations!$D$5:$D$1700,"Other fund expenses")))+SUMIFS(Allocations!$E$5:$E$1700,Allocations!$B$5:$B$1700,"&gt;27",Allocations!$B$5:$B$1700,"&lt;=31",Allocations!$F$5:$F$1700,"LP",Allocations!$D$5:$D$1700,"Realized gain/(loss)")+SUMIFS(Allocations!$E$5:$E$1700,Allocations!$B$5:$B$1700,"&gt;27",Allocations!$B$5:$B$1700,"&lt;=31",Allocations!$F$5:$F$1700,"LP",Allocations!$D$5:$D$1700,"Change in unrealized"))/I7)</f>
        <v>9.5321323123719506E-2</v>
      </c>
      <c r="J16" s="34">
        <f>IF(J7=0,0,(SUMIFS(Allocations!$E$5:$E$1700,Allocations!$B$5:$B$1700,"&gt;31",Allocations!$B$5:$B$1700,"&lt;=35",Allocations!$F$5:$F$1700,"LP",Allocations!$D$5:$D$1700,"Investment income")-(-(SUMIFS(Allocations!$E$5:$E$1700,Allocations!$B$5:$B$1700,"&gt;31",Allocations!$B$5:$B$1700,"&lt;=35",Allocations!$F$5:$F$1700,"LP",Allocations!$D$5:$D$1700,"Management fee")+SUMIFS(Allocations!$E$5:$E$1700,Allocations!$B$5:$B$1700,"&gt;31",Allocations!$B$5:$B$1700,"&lt;=35",Allocations!$F$5:$F$1700,"LP",Allocations!$D$5:$D$1700,"Other fund expenses")))+SUMIFS(Allocations!$E$5:$E$1700,Allocations!$B$5:$B$1700,"&gt;31",Allocations!$B$5:$B$1700,"&lt;=35",Allocations!$F$5:$F$1700,"LP",Allocations!$D$5:$D$1700,"Realized gain/(loss)")+SUMIFS(Allocations!$E$5:$E$1700,Allocations!$B$5:$B$1700,"&gt;31",Allocations!$B$5:$B$1700,"&lt;=35",Allocations!$F$5:$F$1700,"LP",Allocations!$D$5:$D$1700,"Change in unrealized"))/J7)</f>
        <v>0.306196797658013</v>
      </c>
      <c r="K16" s="34">
        <f>IF(K7=0,0,(SUMIFS(Allocations!$E$5:$E$1700,Allocations!$B$5:$B$1700,"&gt;35",Allocations!$B$5:$B$1700,"&lt;=39",Allocations!$F$5:$F$1700,"LP",Allocations!$D$5:$D$1700,"Investment income")-(-(SUMIFS(Allocations!$E$5:$E$1700,Allocations!$B$5:$B$1700,"&gt;35",Allocations!$B$5:$B$1700,"&lt;=39",Allocations!$F$5:$F$1700,"LP",Allocations!$D$5:$D$1700,"Management fee")+SUMIFS(Allocations!$E$5:$E$1700,Allocations!$B$5:$B$1700,"&gt;35",Allocations!$B$5:$B$1700,"&lt;=39",Allocations!$F$5:$F$1700,"LP",Allocations!$D$5:$D$1700,"Other fund expenses")))+SUMIFS(Allocations!$E$5:$E$1700,Allocations!$B$5:$B$1700,"&gt;35",Allocations!$B$5:$B$1700,"&lt;=39",Allocations!$F$5:$F$1700,"LP",Allocations!$D$5:$D$1700,"Realized gain/(loss)")+SUMIFS(Allocations!$E$5:$E$1700,Allocations!$B$5:$B$1700,"&gt;35",Allocations!$B$5:$B$1700,"&lt;=39",Allocations!$F$5:$F$1700,"LP",Allocations!$D$5:$D$1700,"Change in unrealized"))/K7)</f>
        <v>0.20652389325094167</v>
      </c>
      <c r="L16" s="34">
        <f>IF(L7=0,0,(SUMIFS(Allocations!$E$5:$E$1700,Allocations!$B$5:$B$1700,"&gt;39",Allocations!$B$5:$B$1700,"&lt;=43",Allocations!$F$5:$F$1700,"LP",Allocations!$D$5:$D$1700,"Investment income")-(-(SUMIFS(Allocations!$E$5:$E$1700,Allocations!$B$5:$B$1700,"&gt;39",Allocations!$B$5:$B$1700,"&lt;=43",Allocations!$F$5:$F$1700,"LP",Allocations!$D$5:$D$1700,"Management fee")+SUMIFS(Allocations!$E$5:$E$1700,Allocations!$B$5:$B$1700,"&gt;39",Allocations!$B$5:$B$1700,"&lt;=43",Allocations!$F$5:$F$1700,"LP",Allocations!$D$5:$D$1700,"Other fund expenses")))+SUMIFS(Allocations!$E$5:$E$1700,Allocations!$B$5:$B$1700,"&gt;39",Allocations!$B$5:$B$1700,"&lt;=43",Allocations!$F$5:$F$1700,"LP",Allocations!$D$5:$D$1700,"Realized gain/(loss)")+SUMIFS(Allocations!$E$5:$E$1700,Allocations!$B$5:$B$1700,"&gt;39",Allocations!$B$5:$B$1700,"&lt;=43",Allocations!$F$5:$F$1700,"LP",Allocations!$D$5:$D$1700,"Change in unrealized"))/L7)</f>
        <v>0.74238754062786982</v>
      </c>
      <c r="M16" s="34">
        <f>IF(M7=0,0,(SUMIFS(Allocations!$E$5:$E$1700,Allocations!$B$5:$B$1700,"&gt;43",Allocations!$B$5:$B$1700,"&lt;=45",Allocations!$F$5:$F$1700,"LP",Allocations!$D$5:$D$1700,"Investment income")-(-(SUMIFS(Allocations!$E$5:$E$1700,Allocations!$B$5:$B$1700,"&gt;43",Allocations!$B$5:$B$1700,"&lt;=45",Allocations!$F$5:$F$1700,"LP",Allocations!$D$5:$D$1700,"Management fee")+SUMIFS(Allocations!$E$5:$E$1700,Allocations!$B$5:$B$1700,"&gt;43",Allocations!$B$5:$B$1700,"&lt;=45",Allocations!$F$5:$F$1700,"LP",Allocations!$D$5:$D$1700,"Other fund expenses")))+SUMIFS(Allocations!$E$5:$E$1700,Allocations!$B$5:$B$1700,"&gt;43",Allocations!$B$5:$B$1700,"&lt;=45",Allocations!$F$5:$F$1700,"LP",Allocations!$D$5:$D$1700,"Realized gain/(loss)")+SUMIFS(Allocations!$E$5:$E$1700,Allocations!$B$5:$B$1700,"&gt;43",Allocations!$B$5:$B$1700,"&lt;=45",Allocations!$F$5:$F$1700,"LP",Allocations!$D$5:$D$1700,"Change in unrealized"))/M7)</f>
        <v>-0.24405641346353435</v>
      </c>
    </row>
    <row r="17" spans="1:13" x14ac:dyDescent="0.25">
      <c r="A17" s="8" t="s">
        <v>379</v>
      </c>
      <c r="B17" s="34">
        <f>IF(B7=0,0,(SUMIFS(Allocations!$E$5:$E$1700,Allocations!$B$5:$B$1700,"&gt;-1",Allocations!$B$5:$B$1700,"&lt;=3",Allocations!$F$5:$F$1700,"LP",Allocations!$D$5:$D$1700,"Investment income")-(-(SUMIFS(Allocations!$E$5:$E$1700,Allocations!$B$5:$B$1700,"&gt;-1",Allocations!$B$5:$B$1700,"&lt;=3",Allocations!$F$5:$F$1700,"LP",Allocations!$D$5:$D$1700,"Management fee")+SUMIFS(Allocations!$E$5:$E$1700,Allocations!$B$5:$B$1700,"&gt;-1",Allocations!$B$5:$B$1700,"&lt;=3",Allocations!$F$5:$F$1700,"LP",Allocations!$D$5:$D$1700,"Other fund expenses")))+SUMIFS(Allocations!$E$5:$E$1700,Allocations!$B$5:$B$1700,"&gt;-1",Allocations!$B$5:$B$1700,"&lt;=3",Allocations!$F$5:$F$1700,"LP",Allocations!$D$5:$D$1700,"Realized gain/(loss)")+SUMIFS(Allocations!$E$5:$E$1700,Allocations!$B$5:$B$1700,"&gt;-1",Allocations!$B$5:$B$1700,"&lt;=3",Allocations!$F$5:$F$1700,"LP",Allocations!$D$5:$D$1700,"Change in unrealized")-(-(SUMIFS(Allocations!$E$5:$E$1700,Allocations!$B$5:$B$1700,"&gt;-1",Allocations!$B$5:$B$1700,"&lt;=3",Allocations!$F$5:$F$1700,"LP",Allocations!$D$5:$D$1700,"Carried interest"))))/B7)</f>
        <v>-0.13071970929860913</v>
      </c>
      <c r="C17" s="34">
        <f>IF(C7=0,0,(SUMIFS(Allocations!$E$5:$E$1700,Allocations!$B$5:$B$1700,"&gt;3",Allocations!$B$5:$B$1700,"&lt;=7",Allocations!$F$5:$F$1700,"LP",Allocations!$D$5:$D$1700,"Investment income")-(-(SUMIFS(Allocations!$E$5:$E$1700,Allocations!$B$5:$B$1700,"&gt;3",Allocations!$B$5:$B$1700,"&lt;=7",Allocations!$F$5:$F$1700,"LP",Allocations!$D$5:$D$1700,"Management fee")+SUMIFS(Allocations!$E$5:$E$1700,Allocations!$B$5:$B$1700,"&gt;3",Allocations!$B$5:$B$1700,"&lt;=7",Allocations!$F$5:$F$1700,"LP",Allocations!$D$5:$D$1700,"Other fund expenses")))+SUMIFS(Allocations!$E$5:$E$1700,Allocations!$B$5:$B$1700,"&gt;3",Allocations!$B$5:$B$1700,"&lt;=7",Allocations!$F$5:$F$1700,"LP",Allocations!$D$5:$D$1700,"Realized gain/(loss)")+SUMIFS(Allocations!$E$5:$E$1700,Allocations!$B$5:$B$1700,"&gt;3",Allocations!$B$5:$B$1700,"&lt;=7",Allocations!$F$5:$F$1700,"LP",Allocations!$D$5:$D$1700,"Change in unrealized")-(-(SUMIFS(Allocations!$E$5:$E$1700,Allocations!$B$5:$B$1700,"&gt;3",Allocations!$B$5:$B$1700,"&lt;=7",Allocations!$F$5:$F$1700,"LP",Allocations!$D$5:$D$1700,"Carried interest"))))/C7)</f>
        <v>3.0622864286191608E-2</v>
      </c>
      <c r="D17" s="34">
        <f>IF(D7=0,0,(SUMIFS(Allocations!$E$5:$E$1700,Allocations!$B$5:$B$1700,"&gt;7",Allocations!$B$5:$B$1700,"&lt;=11",Allocations!$F$5:$F$1700,"LP",Allocations!$D$5:$D$1700,"Investment income")-(-(SUMIFS(Allocations!$E$5:$E$1700,Allocations!$B$5:$B$1700,"&gt;7",Allocations!$B$5:$B$1700,"&lt;=11",Allocations!$F$5:$F$1700,"LP",Allocations!$D$5:$D$1700,"Management fee")+SUMIFS(Allocations!$E$5:$E$1700,Allocations!$B$5:$B$1700,"&gt;7",Allocations!$B$5:$B$1700,"&lt;=11",Allocations!$F$5:$F$1700,"LP",Allocations!$D$5:$D$1700,"Other fund expenses")))+SUMIFS(Allocations!$E$5:$E$1700,Allocations!$B$5:$B$1700,"&gt;7",Allocations!$B$5:$B$1700,"&lt;=11",Allocations!$F$5:$F$1700,"LP",Allocations!$D$5:$D$1700,"Realized gain/(loss)")+SUMIFS(Allocations!$E$5:$E$1700,Allocations!$B$5:$B$1700,"&gt;7",Allocations!$B$5:$B$1700,"&lt;=11",Allocations!$F$5:$F$1700,"LP",Allocations!$D$5:$D$1700,"Change in unrealized")-(-(SUMIFS(Allocations!$E$5:$E$1700,Allocations!$B$5:$B$1700,"&gt;7",Allocations!$B$5:$B$1700,"&lt;=11",Allocations!$F$5:$F$1700,"LP",Allocations!$D$5:$D$1700,"Carried interest"))))/D7)</f>
        <v>0.14002442793767791</v>
      </c>
      <c r="E17" s="34">
        <f>IF(E7=0,0,(SUMIFS(Allocations!$E$5:$E$1700,Allocations!$B$5:$B$1700,"&gt;11",Allocations!$B$5:$B$1700,"&lt;=15",Allocations!$F$5:$F$1700,"LP",Allocations!$D$5:$D$1700,"Investment income")-(-(SUMIFS(Allocations!$E$5:$E$1700,Allocations!$B$5:$B$1700,"&gt;11",Allocations!$B$5:$B$1700,"&lt;=15",Allocations!$F$5:$F$1700,"LP",Allocations!$D$5:$D$1700,"Management fee")+SUMIFS(Allocations!$E$5:$E$1700,Allocations!$B$5:$B$1700,"&gt;11",Allocations!$B$5:$B$1700,"&lt;=15",Allocations!$F$5:$F$1700,"LP",Allocations!$D$5:$D$1700,"Other fund expenses")))+SUMIFS(Allocations!$E$5:$E$1700,Allocations!$B$5:$B$1700,"&gt;11",Allocations!$B$5:$B$1700,"&lt;=15",Allocations!$F$5:$F$1700,"LP",Allocations!$D$5:$D$1700,"Realized gain/(loss)")+SUMIFS(Allocations!$E$5:$E$1700,Allocations!$B$5:$B$1700,"&gt;11",Allocations!$B$5:$B$1700,"&lt;=15",Allocations!$F$5:$F$1700,"LP",Allocations!$D$5:$D$1700,"Change in unrealized")-(-(SUMIFS(Allocations!$E$5:$E$1700,Allocations!$B$5:$B$1700,"&gt;11",Allocations!$B$5:$B$1700,"&lt;=15",Allocations!$F$5:$F$1700,"LP",Allocations!$D$5:$D$1700,"Carried interest"))))/E7)</f>
        <v>-1.6367502647800677E-2</v>
      </c>
      <c r="F17" s="34">
        <f>IF(F7=0,0,(SUMIFS(Allocations!$E$5:$E$1700,Allocations!$B$5:$B$1700,"&gt;15",Allocations!$B$5:$B$1700,"&lt;=19",Allocations!$F$5:$F$1700,"LP",Allocations!$D$5:$D$1700,"Investment income")-(-(SUMIFS(Allocations!$E$5:$E$1700,Allocations!$B$5:$B$1700,"&gt;15",Allocations!$B$5:$B$1700,"&lt;=19",Allocations!$F$5:$F$1700,"LP",Allocations!$D$5:$D$1700,"Management fee")+SUMIFS(Allocations!$E$5:$E$1700,Allocations!$B$5:$B$1700,"&gt;15",Allocations!$B$5:$B$1700,"&lt;=19",Allocations!$F$5:$F$1700,"LP",Allocations!$D$5:$D$1700,"Other fund expenses")))+SUMIFS(Allocations!$E$5:$E$1700,Allocations!$B$5:$B$1700,"&gt;15",Allocations!$B$5:$B$1700,"&lt;=19",Allocations!$F$5:$F$1700,"LP",Allocations!$D$5:$D$1700,"Realized gain/(loss)")+SUMIFS(Allocations!$E$5:$E$1700,Allocations!$B$5:$B$1700,"&gt;15",Allocations!$B$5:$B$1700,"&lt;=19",Allocations!$F$5:$F$1700,"LP",Allocations!$D$5:$D$1700,"Change in unrealized")-(-(SUMIFS(Allocations!$E$5:$E$1700,Allocations!$B$5:$B$1700,"&gt;15",Allocations!$B$5:$B$1700,"&lt;=19",Allocations!$F$5:$F$1700,"LP",Allocations!$D$5:$D$1700,"Carried interest"))))/F7)</f>
        <v>0.12096970422841151</v>
      </c>
      <c r="G17" s="34">
        <f>IF(G7=0,0,(SUMIFS(Allocations!$E$5:$E$1700,Allocations!$B$5:$B$1700,"&gt;19",Allocations!$B$5:$B$1700,"&lt;=23",Allocations!$F$5:$F$1700,"LP",Allocations!$D$5:$D$1700,"Investment income")-(-(SUMIFS(Allocations!$E$5:$E$1700,Allocations!$B$5:$B$1700,"&gt;19",Allocations!$B$5:$B$1700,"&lt;=23",Allocations!$F$5:$F$1700,"LP",Allocations!$D$5:$D$1700,"Management fee")+SUMIFS(Allocations!$E$5:$E$1700,Allocations!$B$5:$B$1700,"&gt;19",Allocations!$B$5:$B$1700,"&lt;=23",Allocations!$F$5:$F$1700,"LP",Allocations!$D$5:$D$1700,"Other fund expenses")))+SUMIFS(Allocations!$E$5:$E$1700,Allocations!$B$5:$B$1700,"&gt;19",Allocations!$B$5:$B$1700,"&lt;=23",Allocations!$F$5:$F$1700,"LP",Allocations!$D$5:$D$1700,"Realized gain/(loss)")+SUMIFS(Allocations!$E$5:$E$1700,Allocations!$B$5:$B$1700,"&gt;19",Allocations!$B$5:$B$1700,"&lt;=23",Allocations!$F$5:$F$1700,"LP",Allocations!$D$5:$D$1700,"Change in unrealized")-(-(SUMIFS(Allocations!$E$5:$E$1700,Allocations!$B$5:$B$1700,"&gt;19",Allocations!$B$5:$B$1700,"&lt;=23",Allocations!$F$5:$F$1700,"LP",Allocations!$D$5:$D$1700,"Carried interest"))))/G7)</f>
        <v>0.14894667861394725</v>
      </c>
      <c r="H17" s="34">
        <f>IF(H7=0,0,(SUMIFS(Allocations!$E$5:$E$1700,Allocations!$B$5:$B$1700,"&gt;23",Allocations!$B$5:$B$1700,"&lt;=27",Allocations!$F$5:$F$1700,"LP",Allocations!$D$5:$D$1700,"Investment income")-(-(SUMIFS(Allocations!$E$5:$E$1700,Allocations!$B$5:$B$1700,"&gt;23",Allocations!$B$5:$B$1700,"&lt;=27",Allocations!$F$5:$F$1700,"LP",Allocations!$D$5:$D$1700,"Management fee")+SUMIFS(Allocations!$E$5:$E$1700,Allocations!$B$5:$B$1700,"&gt;23",Allocations!$B$5:$B$1700,"&lt;=27",Allocations!$F$5:$F$1700,"LP",Allocations!$D$5:$D$1700,"Other fund expenses")))+SUMIFS(Allocations!$E$5:$E$1700,Allocations!$B$5:$B$1700,"&gt;23",Allocations!$B$5:$B$1700,"&lt;=27",Allocations!$F$5:$F$1700,"LP",Allocations!$D$5:$D$1700,"Realized gain/(loss)")+SUMIFS(Allocations!$E$5:$E$1700,Allocations!$B$5:$B$1700,"&gt;23",Allocations!$B$5:$B$1700,"&lt;=27",Allocations!$F$5:$F$1700,"LP",Allocations!$D$5:$D$1700,"Change in unrealized")-(-(SUMIFS(Allocations!$E$5:$E$1700,Allocations!$B$5:$B$1700,"&gt;23",Allocations!$B$5:$B$1700,"&lt;=27",Allocations!$F$5:$F$1700,"LP",Allocations!$D$5:$D$1700,"Carried interest"))))/H7)</f>
        <v>7.1872670376678327E-2</v>
      </c>
      <c r="I17" s="34">
        <f>IF(I7=0,0,(SUMIFS(Allocations!$E$5:$E$1700,Allocations!$B$5:$B$1700,"&gt;27",Allocations!$B$5:$B$1700,"&lt;=31",Allocations!$F$5:$F$1700,"LP",Allocations!$D$5:$D$1700,"Investment income")-(-(SUMIFS(Allocations!$E$5:$E$1700,Allocations!$B$5:$B$1700,"&gt;27",Allocations!$B$5:$B$1700,"&lt;=31",Allocations!$F$5:$F$1700,"LP",Allocations!$D$5:$D$1700,"Management fee")+SUMIFS(Allocations!$E$5:$E$1700,Allocations!$B$5:$B$1700,"&gt;27",Allocations!$B$5:$B$1700,"&lt;=31",Allocations!$F$5:$F$1700,"LP",Allocations!$D$5:$D$1700,"Other fund expenses")))+SUMIFS(Allocations!$E$5:$E$1700,Allocations!$B$5:$B$1700,"&gt;27",Allocations!$B$5:$B$1700,"&lt;=31",Allocations!$F$5:$F$1700,"LP",Allocations!$D$5:$D$1700,"Realized gain/(loss)")+SUMIFS(Allocations!$E$5:$E$1700,Allocations!$B$5:$B$1700,"&gt;27",Allocations!$B$5:$B$1700,"&lt;=31",Allocations!$F$5:$F$1700,"LP",Allocations!$D$5:$D$1700,"Change in unrealized")-(-(SUMIFS(Allocations!$E$5:$E$1700,Allocations!$B$5:$B$1700,"&gt;27",Allocations!$B$5:$B$1700,"&lt;=31",Allocations!$F$5:$F$1700,"LP",Allocations!$D$5:$D$1700,"Carried interest"))))/I7)</f>
        <v>7.6257387810243285E-2</v>
      </c>
      <c r="J17" s="34">
        <f>IF(J7=0,0,(SUMIFS(Allocations!$E$5:$E$1700,Allocations!$B$5:$B$1700,"&gt;31",Allocations!$B$5:$B$1700,"&lt;=35",Allocations!$F$5:$F$1700,"LP",Allocations!$D$5:$D$1700,"Investment income")-(-(SUMIFS(Allocations!$E$5:$E$1700,Allocations!$B$5:$B$1700,"&gt;31",Allocations!$B$5:$B$1700,"&lt;=35",Allocations!$F$5:$F$1700,"LP",Allocations!$D$5:$D$1700,"Management fee")+SUMIFS(Allocations!$E$5:$E$1700,Allocations!$B$5:$B$1700,"&gt;31",Allocations!$B$5:$B$1700,"&lt;=35",Allocations!$F$5:$F$1700,"LP",Allocations!$D$5:$D$1700,"Other fund expenses")))+SUMIFS(Allocations!$E$5:$E$1700,Allocations!$B$5:$B$1700,"&gt;31",Allocations!$B$5:$B$1700,"&lt;=35",Allocations!$F$5:$F$1700,"LP",Allocations!$D$5:$D$1700,"Realized gain/(loss)")+SUMIFS(Allocations!$E$5:$E$1700,Allocations!$B$5:$B$1700,"&gt;31",Allocations!$B$5:$B$1700,"&lt;=35",Allocations!$F$5:$F$1700,"LP",Allocations!$D$5:$D$1700,"Change in unrealized")-(-(SUMIFS(Allocations!$E$5:$E$1700,Allocations!$B$5:$B$1700,"&gt;31",Allocations!$B$5:$B$1700,"&lt;=35",Allocations!$F$5:$F$1700,"LP",Allocations!$D$5:$D$1700,"Carried interest"))))/J7)</f>
        <v>0.24495878693457956</v>
      </c>
      <c r="K17" s="34">
        <f>IF(K7=0,0,(SUMIFS(Allocations!$E$5:$E$1700,Allocations!$B$5:$B$1700,"&gt;35",Allocations!$B$5:$B$1700,"&lt;=39",Allocations!$F$5:$F$1700,"LP",Allocations!$D$5:$D$1700,"Investment income")-(-(SUMIFS(Allocations!$E$5:$E$1700,Allocations!$B$5:$B$1700,"&gt;35",Allocations!$B$5:$B$1700,"&lt;=39",Allocations!$F$5:$F$1700,"LP",Allocations!$D$5:$D$1700,"Management fee")+SUMIFS(Allocations!$E$5:$E$1700,Allocations!$B$5:$B$1700,"&gt;35",Allocations!$B$5:$B$1700,"&lt;=39",Allocations!$F$5:$F$1700,"LP",Allocations!$D$5:$D$1700,"Other fund expenses")))+SUMIFS(Allocations!$E$5:$E$1700,Allocations!$B$5:$B$1700,"&gt;35",Allocations!$B$5:$B$1700,"&lt;=39",Allocations!$F$5:$F$1700,"LP",Allocations!$D$5:$D$1700,"Realized gain/(loss)")+SUMIFS(Allocations!$E$5:$E$1700,Allocations!$B$5:$B$1700,"&gt;35",Allocations!$B$5:$B$1700,"&lt;=39",Allocations!$F$5:$F$1700,"LP",Allocations!$D$5:$D$1700,"Change in unrealized")-(-(SUMIFS(Allocations!$E$5:$E$1700,Allocations!$B$5:$B$1700,"&gt;35",Allocations!$B$5:$B$1700,"&lt;=39",Allocations!$F$5:$F$1700,"LP",Allocations!$D$5:$D$1700,"Carried interest"))))/K7)</f>
        <v>0.16517927133880397</v>
      </c>
      <c r="L17" s="34">
        <f>IF(L7=0,0,(SUMIFS(Allocations!$E$5:$E$1700,Allocations!$B$5:$B$1700,"&gt;39",Allocations!$B$5:$B$1700,"&lt;=43",Allocations!$F$5:$F$1700,"LP",Allocations!$D$5:$D$1700,"Investment income")-(-(SUMIFS(Allocations!$E$5:$E$1700,Allocations!$B$5:$B$1700,"&gt;39",Allocations!$B$5:$B$1700,"&lt;=43",Allocations!$F$5:$F$1700,"LP",Allocations!$D$5:$D$1700,"Management fee")+SUMIFS(Allocations!$E$5:$E$1700,Allocations!$B$5:$B$1700,"&gt;39",Allocations!$B$5:$B$1700,"&lt;=43",Allocations!$F$5:$F$1700,"LP",Allocations!$D$5:$D$1700,"Other fund expenses")))+SUMIFS(Allocations!$E$5:$E$1700,Allocations!$B$5:$B$1700,"&gt;39",Allocations!$B$5:$B$1700,"&lt;=43",Allocations!$F$5:$F$1700,"LP",Allocations!$D$5:$D$1700,"Realized gain/(loss)")+SUMIFS(Allocations!$E$5:$E$1700,Allocations!$B$5:$B$1700,"&gt;39",Allocations!$B$5:$B$1700,"&lt;=43",Allocations!$F$5:$F$1700,"LP",Allocations!$D$5:$D$1700,"Change in unrealized")-(-(SUMIFS(Allocations!$E$5:$E$1700,Allocations!$B$5:$B$1700,"&gt;39",Allocations!$B$5:$B$1700,"&lt;=43",Allocations!$F$5:$F$1700,"LP",Allocations!$D$5:$D$1700,"Carried interest"))))/L7)</f>
        <v>0.5938493694749637</v>
      </c>
      <c r="M17" s="34">
        <f>IF(M7=0,0,(SUMIFS(Allocations!$E$5:$E$1700,Allocations!$B$5:$B$1700,"&gt;43",Allocations!$B$5:$B$1700,"&lt;=45",Allocations!$F$5:$F$1700,"LP",Allocations!$D$5:$D$1700,"Investment income")-(-(SUMIFS(Allocations!$E$5:$E$1700,Allocations!$B$5:$B$1700,"&gt;43",Allocations!$B$5:$B$1700,"&lt;=45",Allocations!$F$5:$F$1700,"LP",Allocations!$D$5:$D$1700,"Management fee")+SUMIFS(Allocations!$E$5:$E$1700,Allocations!$B$5:$B$1700,"&gt;43",Allocations!$B$5:$B$1700,"&lt;=45",Allocations!$F$5:$F$1700,"LP",Allocations!$D$5:$D$1700,"Other fund expenses")))+SUMIFS(Allocations!$E$5:$E$1700,Allocations!$B$5:$B$1700,"&gt;43",Allocations!$B$5:$B$1700,"&lt;=45",Allocations!$F$5:$F$1700,"LP",Allocations!$D$5:$D$1700,"Realized gain/(loss)")+SUMIFS(Allocations!$E$5:$E$1700,Allocations!$B$5:$B$1700,"&gt;43",Allocations!$B$5:$B$1700,"&lt;=45",Allocations!$F$5:$F$1700,"LP",Allocations!$D$5:$D$1700,"Change in unrealized")-(-(SUMIFS(Allocations!$E$5:$E$1700,Allocations!$B$5:$B$1700,"&gt;43",Allocations!$B$5:$B$1700,"&lt;=45",Allocations!$F$5:$F$1700,"LP",Allocations!$D$5:$D$1700,"Carried interest"))))/M7)</f>
        <v>-0.19514561850776696</v>
      </c>
    </row>
    <row r="18" spans="1:13" x14ac:dyDescent="0.25">
      <c r="A18" s="13"/>
    </row>
    <row r="19" spans="1:13" x14ac:dyDescent="0.25">
      <c r="A19" s="8" t="s">
        <v>380</v>
      </c>
    </row>
    <row r="20" spans="1:13" x14ac:dyDescent="0.25">
      <c r="A20" s="8" t="s">
        <v>381</v>
      </c>
      <c r="B20" s="34">
        <f t="shared" ref="B20:M20" si="2">IF(B28=0,0,(1+B28)^4-1)</f>
        <v>-0.15329425432756227</v>
      </c>
      <c r="C20" s="34">
        <f t="shared" si="2"/>
        <v>-1.5074230393669175E-2</v>
      </c>
      <c r="D20" s="34">
        <f t="shared" si="2"/>
        <v>8.0558911577832903E-2</v>
      </c>
      <c r="E20" s="34">
        <f t="shared" si="2"/>
        <v>3.7102029547336324E-2</v>
      </c>
      <c r="F20" s="34">
        <f t="shared" si="2"/>
        <v>6.6147922358477107E-2</v>
      </c>
      <c r="G20" s="34">
        <f t="shared" si="2"/>
        <v>8.2541480903311149E-2</v>
      </c>
      <c r="H20" s="34">
        <f t="shared" si="2"/>
        <v>8.1538692725559914E-2</v>
      </c>
      <c r="I20" s="34">
        <f t="shared" si="2"/>
        <v>8.1332148312354802E-2</v>
      </c>
      <c r="J20" s="34">
        <f t="shared" si="2"/>
        <v>9.466485122840318E-2</v>
      </c>
      <c r="K20" s="34">
        <f t="shared" si="2"/>
        <v>9.6388693455787156E-2</v>
      </c>
      <c r="L20" s="34">
        <f t="shared" si="2"/>
        <v>0.10064405776975471</v>
      </c>
      <c r="M20" s="34">
        <f t="shared" si="2"/>
        <v>0.10052643743540357</v>
      </c>
    </row>
    <row r="22" spans="1:13" x14ac:dyDescent="0.25">
      <c r="A22" t="s">
        <v>382</v>
      </c>
    </row>
    <row r="23" spans="1:13" x14ac:dyDescent="0.25">
      <c r="A23" t="s">
        <v>383</v>
      </c>
    </row>
    <row r="24" spans="1:13" x14ac:dyDescent="0.25">
      <c r="A24" t="s">
        <v>384</v>
      </c>
    </row>
    <row r="26" spans="1:13" x14ac:dyDescent="0.25">
      <c r="A26" s="8" t="s">
        <v>385</v>
      </c>
    </row>
    <row r="27" spans="1:13" x14ac:dyDescent="0.25">
      <c r="A27" t="s">
        <v>225</v>
      </c>
      <c r="B27" s="5" t="s">
        <v>290</v>
      </c>
      <c r="C27" s="5" t="s">
        <v>291</v>
      </c>
      <c r="D27" s="5" t="s">
        <v>292</v>
      </c>
      <c r="E27" s="5" t="s">
        <v>293</v>
      </c>
      <c r="F27" s="5" t="s">
        <v>294</v>
      </c>
      <c r="G27" s="5" t="s">
        <v>295</v>
      </c>
      <c r="H27" s="5" t="s">
        <v>296</v>
      </c>
      <c r="I27" s="5" t="s">
        <v>297</v>
      </c>
      <c r="J27" s="5" t="s">
        <v>298</v>
      </c>
      <c r="K27" s="5" t="s">
        <v>299</v>
      </c>
      <c r="L27" s="5" t="s">
        <v>300</v>
      </c>
      <c r="M27" s="5" t="s">
        <v>301</v>
      </c>
    </row>
    <row r="28" spans="1:13" x14ac:dyDescent="0.25">
      <c r="A28" t="s">
        <v>386</v>
      </c>
      <c r="B28" s="34">
        <f>IFERROR(IRR(B30:B33,0.03),0)</f>
        <v>-4.0747086987504844E-2</v>
      </c>
      <c r="C28" s="34">
        <f>IFERROR(IRR(C30:C37,0.03),0)</f>
        <v>-3.7900499255688613E-3</v>
      </c>
      <c r="D28" s="34">
        <f>IFERROR(IRR(D30:D41,0.03),0)</f>
        <v>1.9558412361986521E-2</v>
      </c>
      <c r="E28" s="34">
        <f>IFERROR(IRR(E30:E45,0.03),0)</f>
        <v>9.1491785775541512E-3</v>
      </c>
      <c r="F28" s="34">
        <f>IFERROR(IRR(F30:F49,0.03),0)</f>
        <v>1.6141915501770354E-2</v>
      </c>
      <c r="G28" s="34">
        <f>IFERROR(IRR(G30:G53,0.03),0)</f>
        <v>2.0025752906877248E-2</v>
      </c>
      <c r="H28" s="34">
        <f>IFERROR(IRR(H30:H57,0.03),0)</f>
        <v>1.9789451274695447E-2</v>
      </c>
      <c r="I28" s="34">
        <f>IFERROR(IRR(I30:I61,0.03),0)</f>
        <v>1.9740759789764084E-2</v>
      </c>
      <c r="J28" s="34">
        <f>IFERROR(IRR(J30:J65,0.03),0)</f>
        <v>2.2869651661369783E-2</v>
      </c>
      <c r="K28" s="34">
        <f>IFERROR(IRR(K30:K69,0.03),0)</f>
        <v>2.3272109449527179E-2</v>
      </c>
      <c r="L28" s="34">
        <f>IFERROR(IRR(L30:L73,0.03),0)</f>
        <v>2.4263562631124724E-2</v>
      </c>
      <c r="M28" s="34">
        <f>IFERROR(IRR(M30:M75,0.03),0)</f>
        <v>2.4236197051380692E-2</v>
      </c>
    </row>
    <row r="30" spans="1:13" x14ac:dyDescent="0.25">
      <c r="A30" t="s">
        <v>230</v>
      </c>
      <c r="B30" s="45">
        <f>-SUMIFS(Allocations!$E$5:$E$1700,Allocations!$B$5:$B$1700,0,Allocations!$F$5:$F$1700,"LP",Allocations!$D$5:$D$1700,"Capital contributions")+SUMIFS(Allocations!$E$5:$E$1700,Allocations!$B$5:$B$1700,0,Allocations!$F$5:$F$1700,"LP",Allocations!$D$5:$D$1700,"Distributions")</f>
        <v>-2970833.33</v>
      </c>
      <c r="C30" s="45">
        <f>-SUMIFS(Allocations!$E$5:$E$1700,Allocations!$B$5:$B$1700,0,Allocations!$F$5:$F$1700,"LP",Allocations!$D$5:$D$1700,"Capital contributions")+SUMIFS(Allocations!$E$5:$E$1700,Allocations!$B$5:$B$1700,0,Allocations!$F$5:$F$1700,"LP",Allocations!$D$5:$D$1700,"Distributions")</f>
        <v>-2970833.33</v>
      </c>
      <c r="D30" s="45">
        <f>-SUMIFS(Allocations!$E$5:$E$1700,Allocations!$B$5:$B$1700,0,Allocations!$F$5:$F$1700,"LP",Allocations!$D$5:$D$1700,"Capital contributions")+SUMIFS(Allocations!$E$5:$E$1700,Allocations!$B$5:$B$1700,0,Allocations!$F$5:$F$1700,"LP",Allocations!$D$5:$D$1700,"Distributions")</f>
        <v>-2970833.33</v>
      </c>
      <c r="E30" s="45">
        <f>-SUMIFS(Allocations!$E$5:$E$1700,Allocations!$B$5:$B$1700,0,Allocations!$F$5:$F$1700,"LP",Allocations!$D$5:$D$1700,"Capital contributions")+SUMIFS(Allocations!$E$5:$E$1700,Allocations!$B$5:$B$1700,0,Allocations!$F$5:$F$1700,"LP",Allocations!$D$5:$D$1700,"Distributions")</f>
        <v>-2970833.33</v>
      </c>
      <c r="F30" s="45">
        <f>-SUMIFS(Allocations!$E$5:$E$1700,Allocations!$B$5:$B$1700,0,Allocations!$F$5:$F$1700,"LP",Allocations!$D$5:$D$1700,"Capital contributions")+SUMIFS(Allocations!$E$5:$E$1700,Allocations!$B$5:$B$1700,0,Allocations!$F$5:$F$1700,"LP",Allocations!$D$5:$D$1700,"Distributions")</f>
        <v>-2970833.33</v>
      </c>
      <c r="G30" s="45">
        <f>-SUMIFS(Allocations!$E$5:$E$1700,Allocations!$B$5:$B$1700,0,Allocations!$F$5:$F$1700,"LP",Allocations!$D$5:$D$1700,"Capital contributions")+SUMIFS(Allocations!$E$5:$E$1700,Allocations!$B$5:$B$1700,0,Allocations!$F$5:$F$1700,"LP",Allocations!$D$5:$D$1700,"Distributions")</f>
        <v>-2970833.33</v>
      </c>
      <c r="H30" s="45">
        <f>-SUMIFS(Allocations!$E$5:$E$1700,Allocations!$B$5:$B$1700,0,Allocations!$F$5:$F$1700,"LP",Allocations!$D$5:$D$1700,"Capital contributions")+SUMIFS(Allocations!$E$5:$E$1700,Allocations!$B$5:$B$1700,0,Allocations!$F$5:$F$1700,"LP",Allocations!$D$5:$D$1700,"Distributions")</f>
        <v>-2970833.33</v>
      </c>
      <c r="I30" s="45">
        <f>-SUMIFS(Allocations!$E$5:$E$1700,Allocations!$B$5:$B$1700,0,Allocations!$F$5:$F$1700,"LP",Allocations!$D$5:$D$1700,"Capital contributions")+SUMIFS(Allocations!$E$5:$E$1700,Allocations!$B$5:$B$1700,0,Allocations!$F$5:$F$1700,"LP",Allocations!$D$5:$D$1700,"Distributions")</f>
        <v>-2970833.33</v>
      </c>
      <c r="J30" s="45">
        <f>-SUMIFS(Allocations!$E$5:$E$1700,Allocations!$B$5:$B$1700,0,Allocations!$F$5:$F$1700,"LP",Allocations!$D$5:$D$1700,"Capital contributions")+SUMIFS(Allocations!$E$5:$E$1700,Allocations!$B$5:$B$1700,0,Allocations!$F$5:$F$1700,"LP",Allocations!$D$5:$D$1700,"Distributions")</f>
        <v>-2970833.33</v>
      </c>
      <c r="K30" s="45">
        <f>-SUMIFS(Allocations!$E$5:$E$1700,Allocations!$B$5:$B$1700,0,Allocations!$F$5:$F$1700,"LP",Allocations!$D$5:$D$1700,"Capital contributions")+SUMIFS(Allocations!$E$5:$E$1700,Allocations!$B$5:$B$1700,0,Allocations!$F$5:$F$1700,"LP",Allocations!$D$5:$D$1700,"Distributions")</f>
        <v>-2970833.33</v>
      </c>
      <c r="L30" s="45">
        <f>-SUMIFS(Allocations!$E$5:$E$1700,Allocations!$B$5:$B$1700,0,Allocations!$F$5:$F$1700,"LP",Allocations!$D$5:$D$1700,"Capital contributions")+SUMIFS(Allocations!$E$5:$E$1700,Allocations!$B$5:$B$1700,0,Allocations!$F$5:$F$1700,"LP",Allocations!$D$5:$D$1700,"Distributions")</f>
        <v>-2970833.33</v>
      </c>
      <c r="M30" s="45">
        <f>-SUMIFS(Allocations!$E$5:$E$1700,Allocations!$B$5:$B$1700,0,Allocations!$F$5:$F$1700,"LP",Allocations!$D$5:$D$1700,"Capital contributions")+SUMIFS(Allocations!$E$5:$E$1700,Allocations!$B$5:$B$1700,0,Allocations!$F$5:$F$1700,"LP",Allocations!$D$5:$D$1700,"Distributions")</f>
        <v>-2970833.33</v>
      </c>
    </row>
    <row r="31" spans="1:13" x14ac:dyDescent="0.25">
      <c r="A31" t="s">
        <v>235</v>
      </c>
      <c r="B31" s="45">
        <f>-SUMIFS(Allocations!$E$5:$E$1700,Allocations!$B$5:$B$1700,1,Allocations!$F$5:$F$1700,"LP",Allocations!$D$5:$D$1700,"Capital contributions")+SUMIFS(Allocations!$E$5:$E$1700,Allocations!$B$5:$B$1700,1,Allocations!$F$5:$F$1700,"LP",Allocations!$D$5:$D$1700,"Distributions")</f>
        <v>-40920833.329999998</v>
      </c>
      <c r="C31" s="45">
        <f>-SUMIFS(Allocations!$E$5:$E$1700,Allocations!$B$5:$B$1700,1,Allocations!$F$5:$F$1700,"LP",Allocations!$D$5:$D$1700,"Capital contributions")+SUMIFS(Allocations!$E$5:$E$1700,Allocations!$B$5:$B$1700,1,Allocations!$F$5:$F$1700,"LP",Allocations!$D$5:$D$1700,"Distributions")</f>
        <v>-40920833.329999998</v>
      </c>
      <c r="D31" s="45">
        <f>-SUMIFS(Allocations!$E$5:$E$1700,Allocations!$B$5:$B$1700,1,Allocations!$F$5:$F$1700,"LP",Allocations!$D$5:$D$1700,"Capital contributions")+SUMIFS(Allocations!$E$5:$E$1700,Allocations!$B$5:$B$1700,1,Allocations!$F$5:$F$1700,"LP",Allocations!$D$5:$D$1700,"Distributions")</f>
        <v>-40920833.329999998</v>
      </c>
      <c r="E31" s="45">
        <f>-SUMIFS(Allocations!$E$5:$E$1700,Allocations!$B$5:$B$1700,1,Allocations!$F$5:$F$1700,"LP",Allocations!$D$5:$D$1700,"Capital contributions")+SUMIFS(Allocations!$E$5:$E$1700,Allocations!$B$5:$B$1700,1,Allocations!$F$5:$F$1700,"LP",Allocations!$D$5:$D$1700,"Distributions")</f>
        <v>-40920833.329999998</v>
      </c>
      <c r="F31" s="45">
        <f>-SUMIFS(Allocations!$E$5:$E$1700,Allocations!$B$5:$B$1700,1,Allocations!$F$5:$F$1700,"LP",Allocations!$D$5:$D$1700,"Capital contributions")+SUMIFS(Allocations!$E$5:$E$1700,Allocations!$B$5:$B$1700,1,Allocations!$F$5:$F$1700,"LP",Allocations!$D$5:$D$1700,"Distributions")</f>
        <v>-40920833.329999998</v>
      </c>
      <c r="G31" s="45">
        <f>-SUMIFS(Allocations!$E$5:$E$1700,Allocations!$B$5:$B$1700,1,Allocations!$F$5:$F$1700,"LP",Allocations!$D$5:$D$1700,"Capital contributions")+SUMIFS(Allocations!$E$5:$E$1700,Allocations!$B$5:$B$1700,1,Allocations!$F$5:$F$1700,"LP",Allocations!$D$5:$D$1700,"Distributions")</f>
        <v>-40920833.329999998</v>
      </c>
      <c r="H31" s="45">
        <f>-SUMIFS(Allocations!$E$5:$E$1700,Allocations!$B$5:$B$1700,1,Allocations!$F$5:$F$1700,"LP",Allocations!$D$5:$D$1700,"Capital contributions")+SUMIFS(Allocations!$E$5:$E$1700,Allocations!$B$5:$B$1700,1,Allocations!$F$5:$F$1700,"LP",Allocations!$D$5:$D$1700,"Distributions")</f>
        <v>-40920833.329999998</v>
      </c>
      <c r="I31" s="45">
        <f>-SUMIFS(Allocations!$E$5:$E$1700,Allocations!$B$5:$B$1700,1,Allocations!$F$5:$F$1700,"LP",Allocations!$D$5:$D$1700,"Capital contributions")+SUMIFS(Allocations!$E$5:$E$1700,Allocations!$B$5:$B$1700,1,Allocations!$F$5:$F$1700,"LP",Allocations!$D$5:$D$1700,"Distributions")</f>
        <v>-40920833.329999998</v>
      </c>
      <c r="J31" s="45">
        <f>-SUMIFS(Allocations!$E$5:$E$1700,Allocations!$B$5:$B$1700,1,Allocations!$F$5:$F$1700,"LP",Allocations!$D$5:$D$1700,"Capital contributions")+SUMIFS(Allocations!$E$5:$E$1700,Allocations!$B$5:$B$1700,1,Allocations!$F$5:$F$1700,"LP",Allocations!$D$5:$D$1700,"Distributions")</f>
        <v>-40920833.329999998</v>
      </c>
      <c r="K31" s="45">
        <f>-SUMIFS(Allocations!$E$5:$E$1700,Allocations!$B$5:$B$1700,1,Allocations!$F$5:$F$1700,"LP",Allocations!$D$5:$D$1700,"Capital contributions")+SUMIFS(Allocations!$E$5:$E$1700,Allocations!$B$5:$B$1700,1,Allocations!$F$5:$F$1700,"LP",Allocations!$D$5:$D$1700,"Distributions")</f>
        <v>-40920833.329999998</v>
      </c>
      <c r="L31" s="45">
        <f>-SUMIFS(Allocations!$E$5:$E$1700,Allocations!$B$5:$B$1700,1,Allocations!$F$5:$F$1700,"LP",Allocations!$D$5:$D$1700,"Capital contributions")+SUMIFS(Allocations!$E$5:$E$1700,Allocations!$B$5:$B$1700,1,Allocations!$F$5:$F$1700,"LP",Allocations!$D$5:$D$1700,"Distributions")</f>
        <v>-40920833.329999998</v>
      </c>
      <c r="M31" s="45">
        <f>-SUMIFS(Allocations!$E$5:$E$1700,Allocations!$B$5:$B$1700,1,Allocations!$F$5:$F$1700,"LP",Allocations!$D$5:$D$1700,"Capital contributions")+SUMIFS(Allocations!$E$5:$E$1700,Allocations!$B$5:$B$1700,1,Allocations!$F$5:$F$1700,"LP",Allocations!$D$5:$D$1700,"Distributions")</f>
        <v>-40920833.329999998</v>
      </c>
    </row>
    <row r="32" spans="1:13" x14ac:dyDescent="0.25">
      <c r="A32" t="s">
        <v>237</v>
      </c>
      <c r="B32" s="45">
        <f>-SUMIFS(Allocations!$E$5:$E$1700,Allocations!$B$5:$B$1700,2,Allocations!$F$5:$F$1700,"LP",Allocations!$D$5:$D$1700,"Capital contributions")+SUMIFS(Allocations!$E$5:$E$1700,Allocations!$B$5:$B$1700,2,Allocations!$F$5:$F$1700,"LP",Allocations!$D$5:$D$1700,"Distributions")</f>
        <v>-670833.32999999996</v>
      </c>
      <c r="C32" s="45">
        <f>-SUMIFS(Allocations!$E$5:$E$1700,Allocations!$B$5:$B$1700,2,Allocations!$F$5:$F$1700,"LP",Allocations!$D$5:$D$1700,"Capital contributions")+SUMIFS(Allocations!$E$5:$E$1700,Allocations!$B$5:$B$1700,2,Allocations!$F$5:$F$1700,"LP",Allocations!$D$5:$D$1700,"Distributions")</f>
        <v>-670833.32999999996</v>
      </c>
      <c r="D32" s="45">
        <f>-SUMIFS(Allocations!$E$5:$E$1700,Allocations!$B$5:$B$1700,2,Allocations!$F$5:$F$1700,"LP",Allocations!$D$5:$D$1700,"Capital contributions")+SUMIFS(Allocations!$E$5:$E$1700,Allocations!$B$5:$B$1700,2,Allocations!$F$5:$F$1700,"LP",Allocations!$D$5:$D$1700,"Distributions")</f>
        <v>-670833.32999999996</v>
      </c>
      <c r="E32" s="45">
        <f>-SUMIFS(Allocations!$E$5:$E$1700,Allocations!$B$5:$B$1700,2,Allocations!$F$5:$F$1700,"LP",Allocations!$D$5:$D$1700,"Capital contributions")+SUMIFS(Allocations!$E$5:$E$1700,Allocations!$B$5:$B$1700,2,Allocations!$F$5:$F$1700,"LP",Allocations!$D$5:$D$1700,"Distributions")</f>
        <v>-670833.32999999996</v>
      </c>
      <c r="F32" s="45">
        <f>-SUMIFS(Allocations!$E$5:$E$1700,Allocations!$B$5:$B$1700,2,Allocations!$F$5:$F$1700,"LP",Allocations!$D$5:$D$1700,"Capital contributions")+SUMIFS(Allocations!$E$5:$E$1700,Allocations!$B$5:$B$1700,2,Allocations!$F$5:$F$1700,"LP",Allocations!$D$5:$D$1700,"Distributions")</f>
        <v>-670833.32999999996</v>
      </c>
      <c r="G32" s="45">
        <f>-SUMIFS(Allocations!$E$5:$E$1700,Allocations!$B$5:$B$1700,2,Allocations!$F$5:$F$1700,"LP",Allocations!$D$5:$D$1700,"Capital contributions")+SUMIFS(Allocations!$E$5:$E$1700,Allocations!$B$5:$B$1700,2,Allocations!$F$5:$F$1700,"LP",Allocations!$D$5:$D$1700,"Distributions")</f>
        <v>-670833.32999999996</v>
      </c>
      <c r="H32" s="45">
        <f>-SUMIFS(Allocations!$E$5:$E$1700,Allocations!$B$5:$B$1700,2,Allocations!$F$5:$F$1700,"LP",Allocations!$D$5:$D$1700,"Capital contributions")+SUMIFS(Allocations!$E$5:$E$1700,Allocations!$B$5:$B$1700,2,Allocations!$F$5:$F$1700,"LP",Allocations!$D$5:$D$1700,"Distributions")</f>
        <v>-670833.32999999996</v>
      </c>
      <c r="I32" s="45">
        <f>-SUMIFS(Allocations!$E$5:$E$1700,Allocations!$B$5:$B$1700,2,Allocations!$F$5:$F$1700,"LP",Allocations!$D$5:$D$1700,"Capital contributions")+SUMIFS(Allocations!$E$5:$E$1700,Allocations!$B$5:$B$1700,2,Allocations!$F$5:$F$1700,"LP",Allocations!$D$5:$D$1700,"Distributions")</f>
        <v>-670833.32999999996</v>
      </c>
      <c r="J32" s="45">
        <f>-SUMIFS(Allocations!$E$5:$E$1700,Allocations!$B$5:$B$1700,2,Allocations!$F$5:$F$1700,"LP",Allocations!$D$5:$D$1700,"Capital contributions")+SUMIFS(Allocations!$E$5:$E$1700,Allocations!$B$5:$B$1700,2,Allocations!$F$5:$F$1700,"LP",Allocations!$D$5:$D$1700,"Distributions")</f>
        <v>-670833.32999999996</v>
      </c>
      <c r="K32" s="45">
        <f>-SUMIFS(Allocations!$E$5:$E$1700,Allocations!$B$5:$B$1700,2,Allocations!$F$5:$F$1700,"LP",Allocations!$D$5:$D$1700,"Capital contributions")+SUMIFS(Allocations!$E$5:$E$1700,Allocations!$B$5:$B$1700,2,Allocations!$F$5:$F$1700,"LP",Allocations!$D$5:$D$1700,"Distributions")</f>
        <v>-670833.32999999996</v>
      </c>
      <c r="L32" s="45">
        <f>-SUMIFS(Allocations!$E$5:$E$1700,Allocations!$B$5:$B$1700,2,Allocations!$F$5:$F$1700,"LP",Allocations!$D$5:$D$1700,"Capital contributions")+SUMIFS(Allocations!$E$5:$E$1700,Allocations!$B$5:$B$1700,2,Allocations!$F$5:$F$1700,"LP",Allocations!$D$5:$D$1700,"Distributions")</f>
        <v>-670833.32999999996</v>
      </c>
      <c r="M32" s="45">
        <f>-SUMIFS(Allocations!$E$5:$E$1700,Allocations!$B$5:$B$1700,2,Allocations!$F$5:$F$1700,"LP",Allocations!$D$5:$D$1700,"Capital contributions")+SUMIFS(Allocations!$E$5:$E$1700,Allocations!$B$5:$B$1700,2,Allocations!$F$5:$F$1700,"LP",Allocations!$D$5:$D$1700,"Distributions")</f>
        <v>-670833.32999999996</v>
      </c>
    </row>
    <row r="33" spans="1:13" x14ac:dyDescent="0.25">
      <c r="A33" t="s">
        <v>238</v>
      </c>
      <c r="B33" s="45">
        <f>-SUMIFS(Allocations!$E$5:$E$1700,Allocations!$B$5:$B$1700,3,Allocations!$F$5:$F$1700,"LP",Allocations!$D$5:$D$1700,"Capital contributions")+SUMIFS(Allocations!$E$5:$E$1700,Allocations!$B$5:$B$1700,3,Allocations!$F$5:$F$1700,"LP",Allocations!$D$5:$D$1700,"Distributions")+B6</f>
        <v>40919736.109999999</v>
      </c>
      <c r="C33" s="45">
        <f>-SUMIFS(Allocations!$E$5:$E$1700,Allocations!$B$5:$B$1700,3,Allocations!$F$5:$F$1700,"LP",Allocations!$D$5:$D$1700,"Capital contributions")+SUMIFS(Allocations!$E$5:$E$1700,Allocations!$B$5:$B$1700,3,Allocations!$F$5:$F$1700,"LP",Allocations!$D$5:$D$1700,"Distributions")</f>
        <v>-1618055.549999998</v>
      </c>
      <c r="D33" s="45">
        <f>-SUMIFS(Allocations!$E$5:$E$1700,Allocations!$B$5:$B$1700,3,Allocations!$F$5:$F$1700,"LP",Allocations!$D$5:$D$1700,"Capital contributions")+SUMIFS(Allocations!$E$5:$E$1700,Allocations!$B$5:$B$1700,3,Allocations!$F$5:$F$1700,"LP",Allocations!$D$5:$D$1700,"Distributions")</f>
        <v>-1618055.549999998</v>
      </c>
      <c r="E33" s="45">
        <f>-SUMIFS(Allocations!$E$5:$E$1700,Allocations!$B$5:$B$1700,3,Allocations!$F$5:$F$1700,"LP",Allocations!$D$5:$D$1700,"Capital contributions")+SUMIFS(Allocations!$E$5:$E$1700,Allocations!$B$5:$B$1700,3,Allocations!$F$5:$F$1700,"LP",Allocations!$D$5:$D$1700,"Distributions")</f>
        <v>-1618055.549999998</v>
      </c>
      <c r="F33" s="45">
        <f>-SUMIFS(Allocations!$E$5:$E$1700,Allocations!$B$5:$B$1700,3,Allocations!$F$5:$F$1700,"LP",Allocations!$D$5:$D$1700,"Capital contributions")+SUMIFS(Allocations!$E$5:$E$1700,Allocations!$B$5:$B$1700,3,Allocations!$F$5:$F$1700,"LP",Allocations!$D$5:$D$1700,"Distributions")</f>
        <v>-1618055.549999998</v>
      </c>
      <c r="G33" s="45">
        <f>-SUMIFS(Allocations!$E$5:$E$1700,Allocations!$B$5:$B$1700,3,Allocations!$F$5:$F$1700,"LP",Allocations!$D$5:$D$1700,"Capital contributions")+SUMIFS(Allocations!$E$5:$E$1700,Allocations!$B$5:$B$1700,3,Allocations!$F$5:$F$1700,"LP",Allocations!$D$5:$D$1700,"Distributions")</f>
        <v>-1618055.549999998</v>
      </c>
      <c r="H33" s="45">
        <f>-SUMIFS(Allocations!$E$5:$E$1700,Allocations!$B$5:$B$1700,3,Allocations!$F$5:$F$1700,"LP",Allocations!$D$5:$D$1700,"Capital contributions")+SUMIFS(Allocations!$E$5:$E$1700,Allocations!$B$5:$B$1700,3,Allocations!$F$5:$F$1700,"LP",Allocations!$D$5:$D$1700,"Distributions")</f>
        <v>-1618055.549999998</v>
      </c>
      <c r="I33" s="45">
        <f>-SUMIFS(Allocations!$E$5:$E$1700,Allocations!$B$5:$B$1700,3,Allocations!$F$5:$F$1700,"LP",Allocations!$D$5:$D$1700,"Capital contributions")+SUMIFS(Allocations!$E$5:$E$1700,Allocations!$B$5:$B$1700,3,Allocations!$F$5:$F$1700,"LP",Allocations!$D$5:$D$1700,"Distributions")</f>
        <v>-1618055.549999998</v>
      </c>
      <c r="J33" s="45">
        <f>-SUMIFS(Allocations!$E$5:$E$1700,Allocations!$B$5:$B$1700,3,Allocations!$F$5:$F$1700,"LP",Allocations!$D$5:$D$1700,"Capital contributions")+SUMIFS(Allocations!$E$5:$E$1700,Allocations!$B$5:$B$1700,3,Allocations!$F$5:$F$1700,"LP",Allocations!$D$5:$D$1700,"Distributions")</f>
        <v>-1618055.549999998</v>
      </c>
      <c r="K33" s="45">
        <f>-SUMIFS(Allocations!$E$5:$E$1700,Allocations!$B$5:$B$1700,3,Allocations!$F$5:$F$1700,"LP",Allocations!$D$5:$D$1700,"Capital contributions")+SUMIFS(Allocations!$E$5:$E$1700,Allocations!$B$5:$B$1700,3,Allocations!$F$5:$F$1700,"LP",Allocations!$D$5:$D$1700,"Distributions")</f>
        <v>-1618055.549999998</v>
      </c>
      <c r="L33" s="45">
        <f>-SUMIFS(Allocations!$E$5:$E$1700,Allocations!$B$5:$B$1700,3,Allocations!$F$5:$F$1700,"LP",Allocations!$D$5:$D$1700,"Capital contributions")+SUMIFS(Allocations!$E$5:$E$1700,Allocations!$B$5:$B$1700,3,Allocations!$F$5:$F$1700,"LP",Allocations!$D$5:$D$1700,"Distributions")</f>
        <v>-1618055.549999998</v>
      </c>
      <c r="M33" s="45">
        <f>-SUMIFS(Allocations!$E$5:$E$1700,Allocations!$B$5:$B$1700,3,Allocations!$F$5:$F$1700,"LP",Allocations!$D$5:$D$1700,"Capital contributions")+SUMIFS(Allocations!$E$5:$E$1700,Allocations!$B$5:$B$1700,3,Allocations!$F$5:$F$1700,"LP",Allocations!$D$5:$D$1700,"Distributions")</f>
        <v>-1618055.549999998</v>
      </c>
    </row>
    <row r="34" spans="1:13" x14ac:dyDescent="0.25">
      <c r="A34" t="s">
        <v>241</v>
      </c>
      <c r="C34" s="45">
        <f>-SUMIFS(Allocations!$E$5:$E$1700,Allocations!$B$5:$B$1700,4,Allocations!$F$5:$F$1700,"LP",Allocations!$D$5:$D$1700,"Capital contributions")+SUMIFS(Allocations!$E$5:$E$1700,Allocations!$B$5:$B$1700,4,Allocations!$F$5:$F$1700,"LP",Allocations!$D$5:$D$1700,"Distributions")</f>
        <v>-30138888.899999999</v>
      </c>
      <c r="D34" s="45">
        <f>-SUMIFS(Allocations!$E$5:$E$1700,Allocations!$B$5:$B$1700,4,Allocations!$F$5:$F$1700,"LP",Allocations!$D$5:$D$1700,"Capital contributions")+SUMIFS(Allocations!$E$5:$E$1700,Allocations!$B$5:$B$1700,4,Allocations!$F$5:$F$1700,"LP",Allocations!$D$5:$D$1700,"Distributions")</f>
        <v>-30138888.899999999</v>
      </c>
      <c r="E34" s="45">
        <f>-SUMIFS(Allocations!$E$5:$E$1700,Allocations!$B$5:$B$1700,4,Allocations!$F$5:$F$1700,"LP",Allocations!$D$5:$D$1700,"Capital contributions")+SUMIFS(Allocations!$E$5:$E$1700,Allocations!$B$5:$B$1700,4,Allocations!$F$5:$F$1700,"LP",Allocations!$D$5:$D$1700,"Distributions")</f>
        <v>-30138888.899999999</v>
      </c>
      <c r="F34" s="45">
        <f>-SUMIFS(Allocations!$E$5:$E$1700,Allocations!$B$5:$B$1700,4,Allocations!$F$5:$F$1700,"LP",Allocations!$D$5:$D$1700,"Capital contributions")+SUMIFS(Allocations!$E$5:$E$1700,Allocations!$B$5:$B$1700,4,Allocations!$F$5:$F$1700,"LP",Allocations!$D$5:$D$1700,"Distributions")</f>
        <v>-30138888.899999999</v>
      </c>
      <c r="G34" s="45">
        <f>-SUMIFS(Allocations!$E$5:$E$1700,Allocations!$B$5:$B$1700,4,Allocations!$F$5:$F$1700,"LP",Allocations!$D$5:$D$1700,"Capital contributions")+SUMIFS(Allocations!$E$5:$E$1700,Allocations!$B$5:$B$1700,4,Allocations!$F$5:$F$1700,"LP",Allocations!$D$5:$D$1700,"Distributions")</f>
        <v>-30138888.899999999</v>
      </c>
      <c r="H34" s="45">
        <f>-SUMIFS(Allocations!$E$5:$E$1700,Allocations!$B$5:$B$1700,4,Allocations!$F$5:$F$1700,"LP",Allocations!$D$5:$D$1700,"Capital contributions")+SUMIFS(Allocations!$E$5:$E$1700,Allocations!$B$5:$B$1700,4,Allocations!$F$5:$F$1700,"LP",Allocations!$D$5:$D$1700,"Distributions")</f>
        <v>-30138888.899999999</v>
      </c>
      <c r="I34" s="45">
        <f>-SUMIFS(Allocations!$E$5:$E$1700,Allocations!$B$5:$B$1700,4,Allocations!$F$5:$F$1700,"LP",Allocations!$D$5:$D$1700,"Capital contributions")+SUMIFS(Allocations!$E$5:$E$1700,Allocations!$B$5:$B$1700,4,Allocations!$F$5:$F$1700,"LP",Allocations!$D$5:$D$1700,"Distributions")</f>
        <v>-30138888.899999999</v>
      </c>
      <c r="J34" s="45">
        <f>-SUMIFS(Allocations!$E$5:$E$1700,Allocations!$B$5:$B$1700,4,Allocations!$F$5:$F$1700,"LP",Allocations!$D$5:$D$1700,"Capital contributions")+SUMIFS(Allocations!$E$5:$E$1700,Allocations!$B$5:$B$1700,4,Allocations!$F$5:$F$1700,"LP",Allocations!$D$5:$D$1700,"Distributions")</f>
        <v>-30138888.899999999</v>
      </c>
      <c r="K34" s="45">
        <f>-SUMIFS(Allocations!$E$5:$E$1700,Allocations!$B$5:$B$1700,4,Allocations!$F$5:$F$1700,"LP",Allocations!$D$5:$D$1700,"Capital contributions")+SUMIFS(Allocations!$E$5:$E$1700,Allocations!$B$5:$B$1700,4,Allocations!$F$5:$F$1700,"LP",Allocations!$D$5:$D$1700,"Distributions")</f>
        <v>-30138888.899999999</v>
      </c>
      <c r="L34" s="45">
        <f>-SUMIFS(Allocations!$E$5:$E$1700,Allocations!$B$5:$B$1700,4,Allocations!$F$5:$F$1700,"LP",Allocations!$D$5:$D$1700,"Capital contributions")+SUMIFS(Allocations!$E$5:$E$1700,Allocations!$B$5:$B$1700,4,Allocations!$F$5:$F$1700,"LP",Allocations!$D$5:$D$1700,"Distributions")</f>
        <v>-30138888.899999999</v>
      </c>
      <c r="M34" s="45">
        <f>-SUMIFS(Allocations!$E$5:$E$1700,Allocations!$B$5:$B$1700,4,Allocations!$F$5:$F$1700,"LP",Allocations!$D$5:$D$1700,"Capital contributions")+SUMIFS(Allocations!$E$5:$E$1700,Allocations!$B$5:$B$1700,4,Allocations!$F$5:$F$1700,"LP",Allocations!$D$5:$D$1700,"Distributions")</f>
        <v>-30138888.899999999</v>
      </c>
    </row>
    <row r="35" spans="1:13" x14ac:dyDescent="0.25">
      <c r="A35" t="s">
        <v>242</v>
      </c>
      <c r="C35" s="45">
        <f>-SUMIFS(Allocations!$E$5:$E$1700,Allocations!$B$5:$B$1700,5,Allocations!$F$5:$F$1700,"LP",Allocations!$D$5:$D$1700,"Capital contributions")+SUMIFS(Allocations!$E$5:$E$1700,Allocations!$B$5:$B$1700,5,Allocations!$F$5:$F$1700,"LP",Allocations!$D$5:$D$1700,"Distributions")</f>
        <v>-1982555.549999997</v>
      </c>
      <c r="D35" s="45">
        <f>-SUMIFS(Allocations!$E$5:$E$1700,Allocations!$B$5:$B$1700,5,Allocations!$F$5:$F$1700,"LP",Allocations!$D$5:$D$1700,"Capital contributions")+SUMIFS(Allocations!$E$5:$E$1700,Allocations!$B$5:$B$1700,5,Allocations!$F$5:$F$1700,"LP",Allocations!$D$5:$D$1700,"Distributions")</f>
        <v>-1982555.549999997</v>
      </c>
      <c r="E35" s="45">
        <f>-SUMIFS(Allocations!$E$5:$E$1700,Allocations!$B$5:$B$1700,5,Allocations!$F$5:$F$1700,"LP",Allocations!$D$5:$D$1700,"Capital contributions")+SUMIFS(Allocations!$E$5:$E$1700,Allocations!$B$5:$B$1700,5,Allocations!$F$5:$F$1700,"LP",Allocations!$D$5:$D$1700,"Distributions")</f>
        <v>-1982555.549999997</v>
      </c>
      <c r="F35" s="45">
        <f>-SUMIFS(Allocations!$E$5:$E$1700,Allocations!$B$5:$B$1700,5,Allocations!$F$5:$F$1700,"LP",Allocations!$D$5:$D$1700,"Capital contributions")+SUMIFS(Allocations!$E$5:$E$1700,Allocations!$B$5:$B$1700,5,Allocations!$F$5:$F$1700,"LP",Allocations!$D$5:$D$1700,"Distributions")</f>
        <v>-1982555.549999997</v>
      </c>
      <c r="G35" s="45">
        <f>-SUMIFS(Allocations!$E$5:$E$1700,Allocations!$B$5:$B$1700,5,Allocations!$F$5:$F$1700,"LP",Allocations!$D$5:$D$1700,"Capital contributions")+SUMIFS(Allocations!$E$5:$E$1700,Allocations!$B$5:$B$1700,5,Allocations!$F$5:$F$1700,"LP",Allocations!$D$5:$D$1700,"Distributions")</f>
        <v>-1982555.549999997</v>
      </c>
      <c r="H35" s="45">
        <f>-SUMIFS(Allocations!$E$5:$E$1700,Allocations!$B$5:$B$1700,5,Allocations!$F$5:$F$1700,"LP",Allocations!$D$5:$D$1700,"Capital contributions")+SUMIFS(Allocations!$E$5:$E$1700,Allocations!$B$5:$B$1700,5,Allocations!$F$5:$F$1700,"LP",Allocations!$D$5:$D$1700,"Distributions")</f>
        <v>-1982555.549999997</v>
      </c>
      <c r="I35" s="45">
        <f>-SUMIFS(Allocations!$E$5:$E$1700,Allocations!$B$5:$B$1700,5,Allocations!$F$5:$F$1700,"LP",Allocations!$D$5:$D$1700,"Capital contributions")+SUMIFS(Allocations!$E$5:$E$1700,Allocations!$B$5:$B$1700,5,Allocations!$F$5:$F$1700,"LP",Allocations!$D$5:$D$1700,"Distributions")</f>
        <v>-1982555.549999997</v>
      </c>
      <c r="J35" s="45">
        <f>-SUMIFS(Allocations!$E$5:$E$1700,Allocations!$B$5:$B$1700,5,Allocations!$F$5:$F$1700,"LP",Allocations!$D$5:$D$1700,"Capital contributions")+SUMIFS(Allocations!$E$5:$E$1700,Allocations!$B$5:$B$1700,5,Allocations!$F$5:$F$1700,"LP",Allocations!$D$5:$D$1700,"Distributions")</f>
        <v>-1982555.549999997</v>
      </c>
      <c r="K35" s="45">
        <f>-SUMIFS(Allocations!$E$5:$E$1700,Allocations!$B$5:$B$1700,5,Allocations!$F$5:$F$1700,"LP",Allocations!$D$5:$D$1700,"Capital contributions")+SUMIFS(Allocations!$E$5:$E$1700,Allocations!$B$5:$B$1700,5,Allocations!$F$5:$F$1700,"LP",Allocations!$D$5:$D$1700,"Distributions")</f>
        <v>-1982555.549999997</v>
      </c>
      <c r="L35" s="45">
        <f>-SUMIFS(Allocations!$E$5:$E$1700,Allocations!$B$5:$B$1700,5,Allocations!$F$5:$F$1700,"LP",Allocations!$D$5:$D$1700,"Capital contributions")+SUMIFS(Allocations!$E$5:$E$1700,Allocations!$B$5:$B$1700,5,Allocations!$F$5:$F$1700,"LP",Allocations!$D$5:$D$1700,"Distributions")</f>
        <v>-1982555.549999997</v>
      </c>
      <c r="M35" s="45">
        <f>-SUMIFS(Allocations!$E$5:$E$1700,Allocations!$B$5:$B$1700,5,Allocations!$F$5:$F$1700,"LP",Allocations!$D$5:$D$1700,"Capital contributions")+SUMIFS(Allocations!$E$5:$E$1700,Allocations!$B$5:$B$1700,5,Allocations!$F$5:$F$1700,"LP",Allocations!$D$5:$D$1700,"Distributions")</f>
        <v>-1982555.549999997</v>
      </c>
    </row>
    <row r="36" spans="1:13" x14ac:dyDescent="0.25">
      <c r="A36" t="s">
        <v>243</v>
      </c>
      <c r="C36" s="45">
        <f>-SUMIFS(Allocations!$E$5:$E$1700,Allocations!$B$5:$B$1700,6,Allocations!$F$5:$F$1700,"LP",Allocations!$D$5:$D$1700,"Capital contributions")+SUMIFS(Allocations!$E$5:$E$1700,Allocations!$B$5:$B$1700,6,Allocations!$F$5:$F$1700,"LP",Allocations!$D$5:$D$1700,"Distributions")</f>
        <v>-1372000</v>
      </c>
      <c r="D36" s="45">
        <f>-SUMIFS(Allocations!$E$5:$E$1700,Allocations!$B$5:$B$1700,6,Allocations!$F$5:$F$1700,"LP",Allocations!$D$5:$D$1700,"Capital contributions")+SUMIFS(Allocations!$E$5:$E$1700,Allocations!$B$5:$B$1700,6,Allocations!$F$5:$F$1700,"LP",Allocations!$D$5:$D$1700,"Distributions")</f>
        <v>-1372000</v>
      </c>
      <c r="E36" s="45">
        <f>-SUMIFS(Allocations!$E$5:$E$1700,Allocations!$B$5:$B$1700,6,Allocations!$F$5:$F$1700,"LP",Allocations!$D$5:$D$1700,"Capital contributions")+SUMIFS(Allocations!$E$5:$E$1700,Allocations!$B$5:$B$1700,6,Allocations!$F$5:$F$1700,"LP",Allocations!$D$5:$D$1700,"Distributions")</f>
        <v>-1372000</v>
      </c>
      <c r="F36" s="45">
        <f>-SUMIFS(Allocations!$E$5:$E$1700,Allocations!$B$5:$B$1700,6,Allocations!$F$5:$F$1700,"LP",Allocations!$D$5:$D$1700,"Capital contributions")+SUMIFS(Allocations!$E$5:$E$1700,Allocations!$B$5:$B$1700,6,Allocations!$F$5:$F$1700,"LP",Allocations!$D$5:$D$1700,"Distributions")</f>
        <v>-1372000</v>
      </c>
      <c r="G36" s="45">
        <f>-SUMIFS(Allocations!$E$5:$E$1700,Allocations!$B$5:$B$1700,6,Allocations!$F$5:$F$1700,"LP",Allocations!$D$5:$D$1700,"Capital contributions")+SUMIFS(Allocations!$E$5:$E$1700,Allocations!$B$5:$B$1700,6,Allocations!$F$5:$F$1700,"LP",Allocations!$D$5:$D$1700,"Distributions")</f>
        <v>-1372000</v>
      </c>
      <c r="H36" s="45">
        <f>-SUMIFS(Allocations!$E$5:$E$1700,Allocations!$B$5:$B$1700,6,Allocations!$F$5:$F$1700,"LP",Allocations!$D$5:$D$1700,"Capital contributions")+SUMIFS(Allocations!$E$5:$E$1700,Allocations!$B$5:$B$1700,6,Allocations!$F$5:$F$1700,"LP",Allocations!$D$5:$D$1700,"Distributions")</f>
        <v>-1372000</v>
      </c>
      <c r="I36" s="45">
        <f>-SUMIFS(Allocations!$E$5:$E$1700,Allocations!$B$5:$B$1700,6,Allocations!$F$5:$F$1700,"LP",Allocations!$D$5:$D$1700,"Capital contributions")+SUMIFS(Allocations!$E$5:$E$1700,Allocations!$B$5:$B$1700,6,Allocations!$F$5:$F$1700,"LP",Allocations!$D$5:$D$1700,"Distributions")</f>
        <v>-1372000</v>
      </c>
      <c r="J36" s="45">
        <f>-SUMIFS(Allocations!$E$5:$E$1700,Allocations!$B$5:$B$1700,6,Allocations!$F$5:$F$1700,"LP",Allocations!$D$5:$D$1700,"Capital contributions")+SUMIFS(Allocations!$E$5:$E$1700,Allocations!$B$5:$B$1700,6,Allocations!$F$5:$F$1700,"LP",Allocations!$D$5:$D$1700,"Distributions")</f>
        <v>-1372000</v>
      </c>
      <c r="K36" s="45">
        <f>-SUMIFS(Allocations!$E$5:$E$1700,Allocations!$B$5:$B$1700,6,Allocations!$F$5:$F$1700,"LP",Allocations!$D$5:$D$1700,"Capital contributions")+SUMIFS(Allocations!$E$5:$E$1700,Allocations!$B$5:$B$1700,6,Allocations!$F$5:$F$1700,"LP",Allocations!$D$5:$D$1700,"Distributions")</f>
        <v>-1372000</v>
      </c>
      <c r="L36" s="45">
        <f>-SUMIFS(Allocations!$E$5:$E$1700,Allocations!$B$5:$B$1700,6,Allocations!$F$5:$F$1700,"LP",Allocations!$D$5:$D$1700,"Capital contributions")+SUMIFS(Allocations!$E$5:$E$1700,Allocations!$B$5:$B$1700,6,Allocations!$F$5:$F$1700,"LP",Allocations!$D$5:$D$1700,"Distributions")</f>
        <v>-1372000</v>
      </c>
      <c r="M36" s="45">
        <f>-SUMIFS(Allocations!$E$5:$E$1700,Allocations!$B$5:$B$1700,6,Allocations!$F$5:$F$1700,"LP",Allocations!$D$5:$D$1700,"Capital contributions")+SUMIFS(Allocations!$E$5:$E$1700,Allocations!$B$5:$B$1700,6,Allocations!$F$5:$F$1700,"LP",Allocations!$D$5:$D$1700,"Distributions")</f>
        <v>-1372000</v>
      </c>
    </row>
    <row r="37" spans="1:13" x14ac:dyDescent="0.25">
      <c r="A37" t="s">
        <v>244</v>
      </c>
      <c r="C37" s="45">
        <f>-SUMIFS(Allocations!$E$5:$E$1700,Allocations!$B$5:$B$1700,7,Allocations!$F$5:$F$1700,"LP",Allocations!$D$5:$D$1700,"Capital contributions")+SUMIFS(Allocations!$E$5:$E$1700,Allocations!$B$5:$B$1700,7,Allocations!$F$5:$F$1700,"LP",Allocations!$D$5:$D$1700,"Distributions")+C6</f>
        <v>78275700.549999997</v>
      </c>
      <c r="D37" s="45">
        <f>-SUMIFS(Allocations!$E$5:$E$1700,Allocations!$B$5:$B$1700,7,Allocations!$F$5:$F$1700,"LP",Allocations!$D$5:$D$1700,"Capital contributions")+SUMIFS(Allocations!$E$5:$E$1700,Allocations!$B$5:$B$1700,7,Allocations!$F$5:$F$1700,"LP",Allocations!$D$5:$D$1700,"Distributions")</f>
        <v>-25774000</v>
      </c>
      <c r="E37" s="45">
        <f>-SUMIFS(Allocations!$E$5:$E$1700,Allocations!$B$5:$B$1700,7,Allocations!$F$5:$F$1700,"LP",Allocations!$D$5:$D$1700,"Capital contributions")+SUMIFS(Allocations!$E$5:$E$1700,Allocations!$B$5:$B$1700,7,Allocations!$F$5:$F$1700,"LP",Allocations!$D$5:$D$1700,"Distributions")</f>
        <v>-25774000</v>
      </c>
      <c r="F37" s="45">
        <f>-SUMIFS(Allocations!$E$5:$E$1700,Allocations!$B$5:$B$1700,7,Allocations!$F$5:$F$1700,"LP",Allocations!$D$5:$D$1700,"Capital contributions")+SUMIFS(Allocations!$E$5:$E$1700,Allocations!$B$5:$B$1700,7,Allocations!$F$5:$F$1700,"LP",Allocations!$D$5:$D$1700,"Distributions")</f>
        <v>-25774000</v>
      </c>
      <c r="G37" s="45">
        <f>-SUMIFS(Allocations!$E$5:$E$1700,Allocations!$B$5:$B$1700,7,Allocations!$F$5:$F$1700,"LP",Allocations!$D$5:$D$1700,"Capital contributions")+SUMIFS(Allocations!$E$5:$E$1700,Allocations!$B$5:$B$1700,7,Allocations!$F$5:$F$1700,"LP",Allocations!$D$5:$D$1700,"Distributions")</f>
        <v>-25774000</v>
      </c>
      <c r="H37" s="45">
        <f>-SUMIFS(Allocations!$E$5:$E$1700,Allocations!$B$5:$B$1700,7,Allocations!$F$5:$F$1700,"LP",Allocations!$D$5:$D$1700,"Capital contributions")+SUMIFS(Allocations!$E$5:$E$1700,Allocations!$B$5:$B$1700,7,Allocations!$F$5:$F$1700,"LP",Allocations!$D$5:$D$1700,"Distributions")</f>
        <v>-25774000</v>
      </c>
      <c r="I37" s="45">
        <f>-SUMIFS(Allocations!$E$5:$E$1700,Allocations!$B$5:$B$1700,7,Allocations!$F$5:$F$1700,"LP",Allocations!$D$5:$D$1700,"Capital contributions")+SUMIFS(Allocations!$E$5:$E$1700,Allocations!$B$5:$B$1700,7,Allocations!$F$5:$F$1700,"LP",Allocations!$D$5:$D$1700,"Distributions")</f>
        <v>-25774000</v>
      </c>
      <c r="J37" s="45">
        <f>-SUMIFS(Allocations!$E$5:$E$1700,Allocations!$B$5:$B$1700,7,Allocations!$F$5:$F$1700,"LP",Allocations!$D$5:$D$1700,"Capital contributions")+SUMIFS(Allocations!$E$5:$E$1700,Allocations!$B$5:$B$1700,7,Allocations!$F$5:$F$1700,"LP",Allocations!$D$5:$D$1700,"Distributions")</f>
        <v>-25774000</v>
      </c>
      <c r="K37" s="45">
        <f>-SUMIFS(Allocations!$E$5:$E$1700,Allocations!$B$5:$B$1700,7,Allocations!$F$5:$F$1700,"LP",Allocations!$D$5:$D$1700,"Capital contributions")+SUMIFS(Allocations!$E$5:$E$1700,Allocations!$B$5:$B$1700,7,Allocations!$F$5:$F$1700,"LP",Allocations!$D$5:$D$1700,"Distributions")</f>
        <v>-25774000</v>
      </c>
      <c r="L37" s="45">
        <f>-SUMIFS(Allocations!$E$5:$E$1700,Allocations!$B$5:$B$1700,7,Allocations!$F$5:$F$1700,"LP",Allocations!$D$5:$D$1700,"Capital contributions")+SUMIFS(Allocations!$E$5:$E$1700,Allocations!$B$5:$B$1700,7,Allocations!$F$5:$F$1700,"LP",Allocations!$D$5:$D$1700,"Distributions")</f>
        <v>-25774000</v>
      </c>
      <c r="M37" s="45">
        <f>-SUMIFS(Allocations!$E$5:$E$1700,Allocations!$B$5:$B$1700,7,Allocations!$F$5:$F$1700,"LP",Allocations!$D$5:$D$1700,"Capital contributions")+SUMIFS(Allocations!$E$5:$E$1700,Allocations!$B$5:$B$1700,7,Allocations!$F$5:$F$1700,"LP",Allocations!$D$5:$D$1700,"Distributions")</f>
        <v>-25774000</v>
      </c>
    </row>
    <row r="38" spans="1:13" x14ac:dyDescent="0.25">
      <c r="A38" t="s">
        <v>245</v>
      </c>
      <c r="D38" s="45">
        <f>-SUMIFS(Allocations!$E$5:$E$1700,Allocations!$B$5:$B$1700,8,Allocations!$F$5:$F$1700,"LP",Allocations!$D$5:$D$1700,"Capital contributions")+SUMIFS(Allocations!$E$5:$E$1700,Allocations!$B$5:$B$1700,8,Allocations!$F$5:$F$1700,"LP",Allocations!$D$5:$D$1700,"Distributions")</f>
        <v>-9212000</v>
      </c>
      <c r="E38" s="45">
        <f>-SUMIFS(Allocations!$E$5:$E$1700,Allocations!$B$5:$B$1700,8,Allocations!$F$5:$F$1700,"LP",Allocations!$D$5:$D$1700,"Capital contributions")+SUMIFS(Allocations!$E$5:$E$1700,Allocations!$B$5:$B$1700,8,Allocations!$F$5:$F$1700,"LP",Allocations!$D$5:$D$1700,"Distributions")</f>
        <v>-9212000</v>
      </c>
      <c r="F38" s="45">
        <f>-SUMIFS(Allocations!$E$5:$E$1700,Allocations!$B$5:$B$1700,8,Allocations!$F$5:$F$1700,"LP",Allocations!$D$5:$D$1700,"Capital contributions")+SUMIFS(Allocations!$E$5:$E$1700,Allocations!$B$5:$B$1700,8,Allocations!$F$5:$F$1700,"LP",Allocations!$D$5:$D$1700,"Distributions")</f>
        <v>-9212000</v>
      </c>
      <c r="G38" s="45">
        <f>-SUMIFS(Allocations!$E$5:$E$1700,Allocations!$B$5:$B$1700,8,Allocations!$F$5:$F$1700,"LP",Allocations!$D$5:$D$1700,"Capital contributions")+SUMIFS(Allocations!$E$5:$E$1700,Allocations!$B$5:$B$1700,8,Allocations!$F$5:$F$1700,"LP",Allocations!$D$5:$D$1700,"Distributions")</f>
        <v>-9212000</v>
      </c>
      <c r="H38" s="45">
        <f>-SUMIFS(Allocations!$E$5:$E$1700,Allocations!$B$5:$B$1700,8,Allocations!$F$5:$F$1700,"LP",Allocations!$D$5:$D$1700,"Capital contributions")+SUMIFS(Allocations!$E$5:$E$1700,Allocations!$B$5:$B$1700,8,Allocations!$F$5:$F$1700,"LP",Allocations!$D$5:$D$1700,"Distributions")</f>
        <v>-9212000</v>
      </c>
      <c r="I38" s="45">
        <f>-SUMIFS(Allocations!$E$5:$E$1700,Allocations!$B$5:$B$1700,8,Allocations!$F$5:$F$1700,"LP",Allocations!$D$5:$D$1700,"Capital contributions")+SUMIFS(Allocations!$E$5:$E$1700,Allocations!$B$5:$B$1700,8,Allocations!$F$5:$F$1700,"LP",Allocations!$D$5:$D$1700,"Distributions")</f>
        <v>-9212000</v>
      </c>
      <c r="J38" s="45">
        <f>-SUMIFS(Allocations!$E$5:$E$1700,Allocations!$B$5:$B$1700,8,Allocations!$F$5:$F$1700,"LP",Allocations!$D$5:$D$1700,"Capital contributions")+SUMIFS(Allocations!$E$5:$E$1700,Allocations!$B$5:$B$1700,8,Allocations!$F$5:$F$1700,"LP",Allocations!$D$5:$D$1700,"Distributions")</f>
        <v>-9212000</v>
      </c>
      <c r="K38" s="45">
        <f>-SUMIFS(Allocations!$E$5:$E$1700,Allocations!$B$5:$B$1700,8,Allocations!$F$5:$F$1700,"LP",Allocations!$D$5:$D$1700,"Capital contributions")+SUMIFS(Allocations!$E$5:$E$1700,Allocations!$B$5:$B$1700,8,Allocations!$F$5:$F$1700,"LP",Allocations!$D$5:$D$1700,"Distributions")</f>
        <v>-9212000</v>
      </c>
      <c r="L38" s="45">
        <f>-SUMIFS(Allocations!$E$5:$E$1700,Allocations!$B$5:$B$1700,8,Allocations!$F$5:$F$1700,"LP",Allocations!$D$5:$D$1700,"Capital contributions")+SUMIFS(Allocations!$E$5:$E$1700,Allocations!$B$5:$B$1700,8,Allocations!$F$5:$F$1700,"LP",Allocations!$D$5:$D$1700,"Distributions")</f>
        <v>-9212000</v>
      </c>
      <c r="M38" s="45">
        <f>-SUMIFS(Allocations!$E$5:$E$1700,Allocations!$B$5:$B$1700,8,Allocations!$F$5:$F$1700,"LP",Allocations!$D$5:$D$1700,"Capital contributions")+SUMIFS(Allocations!$E$5:$E$1700,Allocations!$B$5:$B$1700,8,Allocations!$F$5:$F$1700,"LP",Allocations!$D$5:$D$1700,"Distributions")</f>
        <v>-9212000</v>
      </c>
    </row>
    <row r="39" spans="1:13" x14ac:dyDescent="0.25">
      <c r="A39" t="s">
        <v>247</v>
      </c>
      <c r="D39" s="45">
        <f>-SUMIFS(Allocations!$E$5:$E$1700,Allocations!$B$5:$B$1700,9,Allocations!$F$5:$F$1700,"LP",Allocations!$D$5:$D$1700,"Capital contributions")+SUMIFS(Allocations!$E$5:$E$1700,Allocations!$B$5:$B$1700,9,Allocations!$F$5:$F$1700,"LP",Allocations!$D$5:$D$1700,"Distributions")</f>
        <v>-13132000</v>
      </c>
      <c r="E39" s="45">
        <f>-SUMIFS(Allocations!$E$5:$E$1700,Allocations!$B$5:$B$1700,9,Allocations!$F$5:$F$1700,"LP",Allocations!$D$5:$D$1700,"Capital contributions")+SUMIFS(Allocations!$E$5:$E$1700,Allocations!$B$5:$B$1700,9,Allocations!$F$5:$F$1700,"LP",Allocations!$D$5:$D$1700,"Distributions")</f>
        <v>-13132000</v>
      </c>
      <c r="F39" s="45">
        <f>-SUMIFS(Allocations!$E$5:$E$1700,Allocations!$B$5:$B$1700,9,Allocations!$F$5:$F$1700,"LP",Allocations!$D$5:$D$1700,"Capital contributions")+SUMIFS(Allocations!$E$5:$E$1700,Allocations!$B$5:$B$1700,9,Allocations!$F$5:$F$1700,"LP",Allocations!$D$5:$D$1700,"Distributions")</f>
        <v>-13132000</v>
      </c>
      <c r="G39" s="45">
        <f>-SUMIFS(Allocations!$E$5:$E$1700,Allocations!$B$5:$B$1700,9,Allocations!$F$5:$F$1700,"LP",Allocations!$D$5:$D$1700,"Capital contributions")+SUMIFS(Allocations!$E$5:$E$1700,Allocations!$B$5:$B$1700,9,Allocations!$F$5:$F$1700,"LP",Allocations!$D$5:$D$1700,"Distributions")</f>
        <v>-13132000</v>
      </c>
      <c r="H39" s="45">
        <f>-SUMIFS(Allocations!$E$5:$E$1700,Allocations!$B$5:$B$1700,9,Allocations!$F$5:$F$1700,"LP",Allocations!$D$5:$D$1700,"Capital contributions")+SUMIFS(Allocations!$E$5:$E$1700,Allocations!$B$5:$B$1700,9,Allocations!$F$5:$F$1700,"LP",Allocations!$D$5:$D$1700,"Distributions")</f>
        <v>-13132000</v>
      </c>
      <c r="I39" s="45">
        <f>-SUMIFS(Allocations!$E$5:$E$1700,Allocations!$B$5:$B$1700,9,Allocations!$F$5:$F$1700,"LP",Allocations!$D$5:$D$1700,"Capital contributions")+SUMIFS(Allocations!$E$5:$E$1700,Allocations!$B$5:$B$1700,9,Allocations!$F$5:$F$1700,"LP",Allocations!$D$5:$D$1700,"Distributions")</f>
        <v>-13132000</v>
      </c>
      <c r="J39" s="45">
        <f>-SUMIFS(Allocations!$E$5:$E$1700,Allocations!$B$5:$B$1700,9,Allocations!$F$5:$F$1700,"LP",Allocations!$D$5:$D$1700,"Capital contributions")+SUMIFS(Allocations!$E$5:$E$1700,Allocations!$B$5:$B$1700,9,Allocations!$F$5:$F$1700,"LP",Allocations!$D$5:$D$1700,"Distributions")</f>
        <v>-13132000</v>
      </c>
      <c r="K39" s="45">
        <f>-SUMIFS(Allocations!$E$5:$E$1700,Allocations!$B$5:$B$1700,9,Allocations!$F$5:$F$1700,"LP",Allocations!$D$5:$D$1700,"Capital contributions")+SUMIFS(Allocations!$E$5:$E$1700,Allocations!$B$5:$B$1700,9,Allocations!$F$5:$F$1700,"LP",Allocations!$D$5:$D$1700,"Distributions")</f>
        <v>-13132000</v>
      </c>
      <c r="L39" s="45">
        <f>-SUMIFS(Allocations!$E$5:$E$1700,Allocations!$B$5:$B$1700,9,Allocations!$F$5:$F$1700,"LP",Allocations!$D$5:$D$1700,"Capital contributions")+SUMIFS(Allocations!$E$5:$E$1700,Allocations!$B$5:$B$1700,9,Allocations!$F$5:$F$1700,"LP",Allocations!$D$5:$D$1700,"Distributions")</f>
        <v>-13132000</v>
      </c>
      <c r="M39" s="45">
        <f>-SUMIFS(Allocations!$E$5:$E$1700,Allocations!$B$5:$B$1700,9,Allocations!$F$5:$F$1700,"LP",Allocations!$D$5:$D$1700,"Capital contributions")+SUMIFS(Allocations!$E$5:$E$1700,Allocations!$B$5:$B$1700,9,Allocations!$F$5:$F$1700,"LP",Allocations!$D$5:$D$1700,"Distributions")</f>
        <v>-13132000</v>
      </c>
    </row>
    <row r="40" spans="1:13" x14ac:dyDescent="0.25">
      <c r="A40" t="s">
        <v>248</v>
      </c>
      <c r="D40" s="45">
        <f>-SUMIFS(Allocations!$E$5:$E$1700,Allocations!$B$5:$B$1700,10,Allocations!$F$5:$F$1700,"LP",Allocations!$D$5:$D$1700,"Capital contributions")+SUMIFS(Allocations!$E$5:$E$1700,Allocations!$B$5:$B$1700,10,Allocations!$F$5:$F$1700,"LP",Allocations!$D$5:$D$1700,"Distributions")</f>
        <v>-28714000</v>
      </c>
      <c r="E40" s="45">
        <f>-SUMIFS(Allocations!$E$5:$E$1700,Allocations!$B$5:$B$1700,10,Allocations!$F$5:$F$1700,"LP",Allocations!$D$5:$D$1700,"Capital contributions")+SUMIFS(Allocations!$E$5:$E$1700,Allocations!$B$5:$B$1700,10,Allocations!$F$5:$F$1700,"LP",Allocations!$D$5:$D$1700,"Distributions")</f>
        <v>-28714000</v>
      </c>
      <c r="F40" s="45">
        <f>-SUMIFS(Allocations!$E$5:$E$1700,Allocations!$B$5:$B$1700,10,Allocations!$F$5:$F$1700,"LP",Allocations!$D$5:$D$1700,"Capital contributions")+SUMIFS(Allocations!$E$5:$E$1700,Allocations!$B$5:$B$1700,10,Allocations!$F$5:$F$1700,"LP",Allocations!$D$5:$D$1700,"Distributions")</f>
        <v>-28714000</v>
      </c>
      <c r="G40" s="45">
        <f>-SUMIFS(Allocations!$E$5:$E$1700,Allocations!$B$5:$B$1700,10,Allocations!$F$5:$F$1700,"LP",Allocations!$D$5:$D$1700,"Capital contributions")+SUMIFS(Allocations!$E$5:$E$1700,Allocations!$B$5:$B$1700,10,Allocations!$F$5:$F$1700,"LP",Allocations!$D$5:$D$1700,"Distributions")</f>
        <v>-28714000</v>
      </c>
      <c r="H40" s="45">
        <f>-SUMIFS(Allocations!$E$5:$E$1700,Allocations!$B$5:$B$1700,10,Allocations!$F$5:$F$1700,"LP",Allocations!$D$5:$D$1700,"Capital contributions")+SUMIFS(Allocations!$E$5:$E$1700,Allocations!$B$5:$B$1700,10,Allocations!$F$5:$F$1700,"LP",Allocations!$D$5:$D$1700,"Distributions")</f>
        <v>-28714000</v>
      </c>
      <c r="I40" s="45">
        <f>-SUMIFS(Allocations!$E$5:$E$1700,Allocations!$B$5:$B$1700,10,Allocations!$F$5:$F$1700,"LP",Allocations!$D$5:$D$1700,"Capital contributions")+SUMIFS(Allocations!$E$5:$E$1700,Allocations!$B$5:$B$1700,10,Allocations!$F$5:$F$1700,"LP",Allocations!$D$5:$D$1700,"Distributions")</f>
        <v>-28714000</v>
      </c>
      <c r="J40" s="45">
        <f>-SUMIFS(Allocations!$E$5:$E$1700,Allocations!$B$5:$B$1700,10,Allocations!$F$5:$F$1700,"LP",Allocations!$D$5:$D$1700,"Capital contributions")+SUMIFS(Allocations!$E$5:$E$1700,Allocations!$B$5:$B$1700,10,Allocations!$F$5:$F$1700,"LP",Allocations!$D$5:$D$1700,"Distributions")</f>
        <v>-28714000</v>
      </c>
      <c r="K40" s="45">
        <f>-SUMIFS(Allocations!$E$5:$E$1700,Allocations!$B$5:$B$1700,10,Allocations!$F$5:$F$1700,"LP",Allocations!$D$5:$D$1700,"Capital contributions")+SUMIFS(Allocations!$E$5:$E$1700,Allocations!$B$5:$B$1700,10,Allocations!$F$5:$F$1700,"LP",Allocations!$D$5:$D$1700,"Distributions")</f>
        <v>-28714000</v>
      </c>
      <c r="L40" s="45">
        <f>-SUMIFS(Allocations!$E$5:$E$1700,Allocations!$B$5:$B$1700,10,Allocations!$F$5:$F$1700,"LP",Allocations!$D$5:$D$1700,"Capital contributions")+SUMIFS(Allocations!$E$5:$E$1700,Allocations!$B$5:$B$1700,10,Allocations!$F$5:$F$1700,"LP",Allocations!$D$5:$D$1700,"Distributions")</f>
        <v>-28714000</v>
      </c>
      <c r="M40" s="45">
        <f>-SUMIFS(Allocations!$E$5:$E$1700,Allocations!$B$5:$B$1700,10,Allocations!$F$5:$F$1700,"LP",Allocations!$D$5:$D$1700,"Capital contributions")+SUMIFS(Allocations!$E$5:$E$1700,Allocations!$B$5:$B$1700,10,Allocations!$F$5:$F$1700,"LP",Allocations!$D$5:$D$1700,"Distributions")</f>
        <v>-28714000</v>
      </c>
    </row>
    <row r="41" spans="1:13" x14ac:dyDescent="0.25">
      <c r="A41" t="s">
        <v>249</v>
      </c>
      <c r="D41" s="45">
        <f>-SUMIFS(Allocations!$E$5:$E$1700,Allocations!$B$5:$B$1700,11,Allocations!$F$5:$F$1700,"LP",Allocations!$D$5:$D$1700,"Capital contributions")+SUMIFS(Allocations!$E$5:$E$1700,Allocations!$B$5:$B$1700,11,Allocations!$F$5:$F$1700,"LP",Allocations!$D$5:$D$1700,"Distributions")+D6</f>
        <v>174824407.81</v>
      </c>
      <c r="E41" s="45">
        <f>-SUMIFS(Allocations!$E$5:$E$1700,Allocations!$B$5:$B$1700,11,Allocations!$F$5:$F$1700,"LP",Allocations!$D$5:$D$1700,"Capital contributions")+SUMIFS(Allocations!$E$5:$E$1700,Allocations!$B$5:$B$1700,11,Allocations!$F$5:$F$1700,"LP",Allocations!$D$5:$D$1700,"Distributions")</f>
        <v>-2744000</v>
      </c>
      <c r="F41" s="45">
        <f>-SUMIFS(Allocations!$E$5:$E$1700,Allocations!$B$5:$B$1700,11,Allocations!$F$5:$F$1700,"LP",Allocations!$D$5:$D$1700,"Capital contributions")+SUMIFS(Allocations!$E$5:$E$1700,Allocations!$B$5:$B$1700,11,Allocations!$F$5:$F$1700,"LP",Allocations!$D$5:$D$1700,"Distributions")</f>
        <v>-2744000</v>
      </c>
      <c r="G41" s="45">
        <f>-SUMIFS(Allocations!$E$5:$E$1700,Allocations!$B$5:$B$1700,11,Allocations!$F$5:$F$1700,"LP",Allocations!$D$5:$D$1700,"Capital contributions")+SUMIFS(Allocations!$E$5:$E$1700,Allocations!$B$5:$B$1700,11,Allocations!$F$5:$F$1700,"LP",Allocations!$D$5:$D$1700,"Distributions")</f>
        <v>-2744000</v>
      </c>
      <c r="H41" s="45">
        <f>-SUMIFS(Allocations!$E$5:$E$1700,Allocations!$B$5:$B$1700,11,Allocations!$F$5:$F$1700,"LP",Allocations!$D$5:$D$1700,"Capital contributions")+SUMIFS(Allocations!$E$5:$E$1700,Allocations!$B$5:$B$1700,11,Allocations!$F$5:$F$1700,"LP",Allocations!$D$5:$D$1700,"Distributions")</f>
        <v>-2744000</v>
      </c>
      <c r="I41" s="45">
        <f>-SUMIFS(Allocations!$E$5:$E$1700,Allocations!$B$5:$B$1700,11,Allocations!$F$5:$F$1700,"LP",Allocations!$D$5:$D$1700,"Capital contributions")+SUMIFS(Allocations!$E$5:$E$1700,Allocations!$B$5:$B$1700,11,Allocations!$F$5:$F$1700,"LP",Allocations!$D$5:$D$1700,"Distributions")</f>
        <v>-2744000</v>
      </c>
      <c r="J41" s="45">
        <f>-SUMIFS(Allocations!$E$5:$E$1700,Allocations!$B$5:$B$1700,11,Allocations!$F$5:$F$1700,"LP",Allocations!$D$5:$D$1700,"Capital contributions")+SUMIFS(Allocations!$E$5:$E$1700,Allocations!$B$5:$B$1700,11,Allocations!$F$5:$F$1700,"LP",Allocations!$D$5:$D$1700,"Distributions")</f>
        <v>-2744000</v>
      </c>
      <c r="K41" s="45">
        <f>-SUMIFS(Allocations!$E$5:$E$1700,Allocations!$B$5:$B$1700,11,Allocations!$F$5:$F$1700,"LP",Allocations!$D$5:$D$1700,"Capital contributions")+SUMIFS(Allocations!$E$5:$E$1700,Allocations!$B$5:$B$1700,11,Allocations!$F$5:$F$1700,"LP",Allocations!$D$5:$D$1700,"Distributions")</f>
        <v>-2744000</v>
      </c>
      <c r="L41" s="45">
        <f>-SUMIFS(Allocations!$E$5:$E$1700,Allocations!$B$5:$B$1700,11,Allocations!$F$5:$F$1700,"LP",Allocations!$D$5:$D$1700,"Capital contributions")+SUMIFS(Allocations!$E$5:$E$1700,Allocations!$B$5:$B$1700,11,Allocations!$F$5:$F$1700,"LP",Allocations!$D$5:$D$1700,"Distributions")</f>
        <v>-2744000</v>
      </c>
      <c r="M41" s="45">
        <f>-SUMIFS(Allocations!$E$5:$E$1700,Allocations!$B$5:$B$1700,11,Allocations!$F$5:$F$1700,"LP",Allocations!$D$5:$D$1700,"Capital contributions")+SUMIFS(Allocations!$E$5:$E$1700,Allocations!$B$5:$B$1700,11,Allocations!$F$5:$F$1700,"LP",Allocations!$D$5:$D$1700,"Distributions")</f>
        <v>-2744000</v>
      </c>
    </row>
    <row r="42" spans="1:13" x14ac:dyDescent="0.25">
      <c r="A42" t="s">
        <v>250</v>
      </c>
      <c r="E42" s="45">
        <f>-SUMIFS(Allocations!$E$5:$E$1700,Allocations!$B$5:$B$1700,12,Allocations!$F$5:$F$1700,"LP",Allocations!$D$5:$D$1700,"Capital contributions")+SUMIFS(Allocations!$E$5:$E$1700,Allocations!$B$5:$B$1700,12,Allocations!$F$5:$F$1700,"LP",Allocations!$D$5:$D$1700,"Distributions")</f>
        <v>-20286000</v>
      </c>
      <c r="F42" s="45">
        <f>-SUMIFS(Allocations!$E$5:$E$1700,Allocations!$B$5:$B$1700,12,Allocations!$F$5:$F$1700,"LP",Allocations!$D$5:$D$1700,"Capital contributions")+SUMIFS(Allocations!$E$5:$E$1700,Allocations!$B$5:$B$1700,12,Allocations!$F$5:$F$1700,"LP",Allocations!$D$5:$D$1700,"Distributions")</f>
        <v>-20286000</v>
      </c>
      <c r="G42" s="45">
        <f>-SUMIFS(Allocations!$E$5:$E$1700,Allocations!$B$5:$B$1700,12,Allocations!$F$5:$F$1700,"LP",Allocations!$D$5:$D$1700,"Capital contributions")+SUMIFS(Allocations!$E$5:$E$1700,Allocations!$B$5:$B$1700,12,Allocations!$F$5:$F$1700,"LP",Allocations!$D$5:$D$1700,"Distributions")</f>
        <v>-20286000</v>
      </c>
      <c r="H42" s="45">
        <f>-SUMIFS(Allocations!$E$5:$E$1700,Allocations!$B$5:$B$1700,12,Allocations!$F$5:$F$1700,"LP",Allocations!$D$5:$D$1700,"Capital contributions")+SUMIFS(Allocations!$E$5:$E$1700,Allocations!$B$5:$B$1700,12,Allocations!$F$5:$F$1700,"LP",Allocations!$D$5:$D$1700,"Distributions")</f>
        <v>-20286000</v>
      </c>
      <c r="I42" s="45">
        <f>-SUMIFS(Allocations!$E$5:$E$1700,Allocations!$B$5:$B$1700,12,Allocations!$F$5:$F$1700,"LP",Allocations!$D$5:$D$1700,"Capital contributions")+SUMIFS(Allocations!$E$5:$E$1700,Allocations!$B$5:$B$1700,12,Allocations!$F$5:$F$1700,"LP",Allocations!$D$5:$D$1700,"Distributions")</f>
        <v>-20286000</v>
      </c>
      <c r="J42" s="45">
        <f>-SUMIFS(Allocations!$E$5:$E$1700,Allocations!$B$5:$B$1700,12,Allocations!$F$5:$F$1700,"LP",Allocations!$D$5:$D$1700,"Capital contributions")+SUMIFS(Allocations!$E$5:$E$1700,Allocations!$B$5:$B$1700,12,Allocations!$F$5:$F$1700,"LP",Allocations!$D$5:$D$1700,"Distributions")</f>
        <v>-20286000</v>
      </c>
      <c r="K42" s="45">
        <f>-SUMIFS(Allocations!$E$5:$E$1700,Allocations!$B$5:$B$1700,12,Allocations!$F$5:$F$1700,"LP",Allocations!$D$5:$D$1700,"Capital contributions")+SUMIFS(Allocations!$E$5:$E$1700,Allocations!$B$5:$B$1700,12,Allocations!$F$5:$F$1700,"LP",Allocations!$D$5:$D$1700,"Distributions")</f>
        <v>-20286000</v>
      </c>
      <c r="L42" s="45">
        <f>-SUMIFS(Allocations!$E$5:$E$1700,Allocations!$B$5:$B$1700,12,Allocations!$F$5:$F$1700,"LP",Allocations!$D$5:$D$1700,"Capital contributions")+SUMIFS(Allocations!$E$5:$E$1700,Allocations!$B$5:$B$1700,12,Allocations!$F$5:$F$1700,"LP",Allocations!$D$5:$D$1700,"Distributions")</f>
        <v>-20286000</v>
      </c>
      <c r="M42" s="45">
        <f>-SUMIFS(Allocations!$E$5:$E$1700,Allocations!$B$5:$B$1700,12,Allocations!$F$5:$F$1700,"LP",Allocations!$D$5:$D$1700,"Capital contributions")+SUMIFS(Allocations!$E$5:$E$1700,Allocations!$B$5:$B$1700,12,Allocations!$F$5:$F$1700,"LP",Allocations!$D$5:$D$1700,"Distributions")</f>
        <v>-20286000</v>
      </c>
    </row>
    <row r="43" spans="1:13" x14ac:dyDescent="0.25">
      <c r="A43" t="s">
        <v>251</v>
      </c>
      <c r="E43" s="45">
        <f>-SUMIFS(Allocations!$E$5:$E$1700,Allocations!$B$5:$B$1700,13,Allocations!$F$5:$F$1700,"LP",Allocations!$D$5:$D$1700,"Capital contributions")+SUMIFS(Allocations!$E$5:$E$1700,Allocations!$B$5:$B$1700,13,Allocations!$F$5:$F$1700,"LP",Allocations!$D$5:$D$1700,"Distributions")</f>
        <v>-7154000</v>
      </c>
      <c r="F43" s="45">
        <f>-SUMIFS(Allocations!$E$5:$E$1700,Allocations!$B$5:$B$1700,13,Allocations!$F$5:$F$1700,"LP",Allocations!$D$5:$D$1700,"Capital contributions")+SUMIFS(Allocations!$E$5:$E$1700,Allocations!$B$5:$B$1700,13,Allocations!$F$5:$F$1700,"LP",Allocations!$D$5:$D$1700,"Distributions")</f>
        <v>-7154000</v>
      </c>
      <c r="G43" s="45">
        <f>-SUMIFS(Allocations!$E$5:$E$1700,Allocations!$B$5:$B$1700,13,Allocations!$F$5:$F$1700,"LP",Allocations!$D$5:$D$1700,"Capital contributions")+SUMIFS(Allocations!$E$5:$E$1700,Allocations!$B$5:$B$1700,13,Allocations!$F$5:$F$1700,"LP",Allocations!$D$5:$D$1700,"Distributions")</f>
        <v>-7154000</v>
      </c>
      <c r="H43" s="45">
        <f>-SUMIFS(Allocations!$E$5:$E$1700,Allocations!$B$5:$B$1700,13,Allocations!$F$5:$F$1700,"LP",Allocations!$D$5:$D$1700,"Capital contributions")+SUMIFS(Allocations!$E$5:$E$1700,Allocations!$B$5:$B$1700,13,Allocations!$F$5:$F$1700,"LP",Allocations!$D$5:$D$1700,"Distributions")</f>
        <v>-7154000</v>
      </c>
      <c r="I43" s="45">
        <f>-SUMIFS(Allocations!$E$5:$E$1700,Allocations!$B$5:$B$1700,13,Allocations!$F$5:$F$1700,"LP",Allocations!$D$5:$D$1700,"Capital contributions")+SUMIFS(Allocations!$E$5:$E$1700,Allocations!$B$5:$B$1700,13,Allocations!$F$5:$F$1700,"LP",Allocations!$D$5:$D$1700,"Distributions")</f>
        <v>-7154000</v>
      </c>
      <c r="J43" s="45">
        <f>-SUMIFS(Allocations!$E$5:$E$1700,Allocations!$B$5:$B$1700,13,Allocations!$F$5:$F$1700,"LP",Allocations!$D$5:$D$1700,"Capital contributions")+SUMIFS(Allocations!$E$5:$E$1700,Allocations!$B$5:$B$1700,13,Allocations!$F$5:$F$1700,"LP",Allocations!$D$5:$D$1700,"Distributions")</f>
        <v>-7154000</v>
      </c>
      <c r="K43" s="45">
        <f>-SUMIFS(Allocations!$E$5:$E$1700,Allocations!$B$5:$B$1700,13,Allocations!$F$5:$F$1700,"LP",Allocations!$D$5:$D$1700,"Capital contributions")+SUMIFS(Allocations!$E$5:$E$1700,Allocations!$B$5:$B$1700,13,Allocations!$F$5:$F$1700,"LP",Allocations!$D$5:$D$1700,"Distributions")</f>
        <v>-7154000</v>
      </c>
      <c r="L43" s="45">
        <f>-SUMIFS(Allocations!$E$5:$E$1700,Allocations!$B$5:$B$1700,13,Allocations!$F$5:$F$1700,"LP",Allocations!$D$5:$D$1700,"Capital contributions")+SUMIFS(Allocations!$E$5:$E$1700,Allocations!$B$5:$B$1700,13,Allocations!$F$5:$F$1700,"LP",Allocations!$D$5:$D$1700,"Distributions")</f>
        <v>-7154000</v>
      </c>
      <c r="M43" s="45">
        <f>-SUMIFS(Allocations!$E$5:$E$1700,Allocations!$B$5:$B$1700,13,Allocations!$F$5:$F$1700,"LP",Allocations!$D$5:$D$1700,"Capital contributions")+SUMIFS(Allocations!$E$5:$E$1700,Allocations!$B$5:$B$1700,13,Allocations!$F$5:$F$1700,"LP",Allocations!$D$5:$D$1700,"Distributions")</f>
        <v>-7154000</v>
      </c>
    </row>
    <row r="44" spans="1:13" x14ac:dyDescent="0.25">
      <c r="A44" t="s">
        <v>253</v>
      </c>
      <c r="E44" s="45">
        <f>-SUMIFS(Allocations!$E$5:$E$1700,Allocations!$B$5:$B$1700,14,Allocations!$F$5:$F$1700,"LP",Allocations!$D$5:$D$1700,"Capital contributions")+SUMIFS(Allocations!$E$5:$E$1700,Allocations!$B$5:$B$1700,14,Allocations!$F$5:$F$1700,"LP",Allocations!$D$5:$D$1700,"Distributions")</f>
        <v>-1372000</v>
      </c>
      <c r="F44" s="45">
        <f>-SUMIFS(Allocations!$E$5:$E$1700,Allocations!$B$5:$B$1700,14,Allocations!$F$5:$F$1700,"LP",Allocations!$D$5:$D$1700,"Capital contributions")+SUMIFS(Allocations!$E$5:$E$1700,Allocations!$B$5:$B$1700,14,Allocations!$F$5:$F$1700,"LP",Allocations!$D$5:$D$1700,"Distributions")</f>
        <v>-1372000</v>
      </c>
      <c r="G44" s="45">
        <f>-SUMIFS(Allocations!$E$5:$E$1700,Allocations!$B$5:$B$1700,14,Allocations!$F$5:$F$1700,"LP",Allocations!$D$5:$D$1700,"Capital contributions")+SUMIFS(Allocations!$E$5:$E$1700,Allocations!$B$5:$B$1700,14,Allocations!$F$5:$F$1700,"LP",Allocations!$D$5:$D$1700,"Distributions")</f>
        <v>-1372000</v>
      </c>
      <c r="H44" s="45">
        <f>-SUMIFS(Allocations!$E$5:$E$1700,Allocations!$B$5:$B$1700,14,Allocations!$F$5:$F$1700,"LP",Allocations!$D$5:$D$1700,"Capital contributions")+SUMIFS(Allocations!$E$5:$E$1700,Allocations!$B$5:$B$1700,14,Allocations!$F$5:$F$1700,"LP",Allocations!$D$5:$D$1700,"Distributions")</f>
        <v>-1372000</v>
      </c>
      <c r="I44" s="45">
        <f>-SUMIFS(Allocations!$E$5:$E$1700,Allocations!$B$5:$B$1700,14,Allocations!$F$5:$F$1700,"LP",Allocations!$D$5:$D$1700,"Capital contributions")+SUMIFS(Allocations!$E$5:$E$1700,Allocations!$B$5:$B$1700,14,Allocations!$F$5:$F$1700,"LP",Allocations!$D$5:$D$1700,"Distributions")</f>
        <v>-1372000</v>
      </c>
      <c r="J44" s="45">
        <f>-SUMIFS(Allocations!$E$5:$E$1700,Allocations!$B$5:$B$1700,14,Allocations!$F$5:$F$1700,"LP",Allocations!$D$5:$D$1700,"Capital contributions")+SUMIFS(Allocations!$E$5:$E$1700,Allocations!$B$5:$B$1700,14,Allocations!$F$5:$F$1700,"LP",Allocations!$D$5:$D$1700,"Distributions")</f>
        <v>-1372000</v>
      </c>
      <c r="K44" s="45">
        <f>-SUMIFS(Allocations!$E$5:$E$1700,Allocations!$B$5:$B$1700,14,Allocations!$F$5:$F$1700,"LP",Allocations!$D$5:$D$1700,"Capital contributions")+SUMIFS(Allocations!$E$5:$E$1700,Allocations!$B$5:$B$1700,14,Allocations!$F$5:$F$1700,"LP",Allocations!$D$5:$D$1700,"Distributions")</f>
        <v>-1372000</v>
      </c>
      <c r="L44" s="45">
        <f>-SUMIFS(Allocations!$E$5:$E$1700,Allocations!$B$5:$B$1700,14,Allocations!$F$5:$F$1700,"LP",Allocations!$D$5:$D$1700,"Capital contributions")+SUMIFS(Allocations!$E$5:$E$1700,Allocations!$B$5:$B$1700,14,Allocations!$F$5:$F$1700,"LP",Allocations!$D$5:$D$1700,"Distributions")</f>
        <v>-1372000</v>
      </c>
      <c r="M44" s="45">
        <f>-SUMIFS(Allocations!$E$5:$E$1700,Allocations!$B$5:$B$1700,14,Allocations!$F$5:$F$1700,"LP",Allocations!$D$5:$D$1700,"Capital contributions")+SUMIFS(Allocations!$E$5:$E$1700,Allocations!$B$5:$B$1700,14,Allocations!$F$5:$F$1700,"LP",Allocations!$D$5:$D$1700,"Distributions")</f>
        <v>-1372000</v>
      </c>
    </row>
    <row r="45" spans="1:13" x14ac:dyDescent="0.25">
      <c r="A45" t="s">
        <v>254</v>
      </c>
      <c r="E45" s="45">
        <f>-SUMIFS(Allocations!$E$5:$E$1700,Allocations!$B$5:$B$1700,15,Allocations!$F$5:$F$1700,"LP",Allocations!$D$5:$D$1700,"Capital contributions")+SUMIFS(Allocations!$E$5:$E$1700,Allocations!$B$5:$B$1700,15,Allocations!$F$5:$F$1700,"LP",Allocations!$D$5:$D$1700,"Distributions")+E6</f>
        <v>203252634.99000004</v>
      </c>
      <c r="F45" s="45">
        <f>-SUMIFS(Allocations!$E$5:$E$1700,Allocations!$B$5:$B$1700,15,Allocations!$F$5:$F$1700,"LP",Allocations!$D$5:$D$1700,"Capital contributions")+SUMIFS(Allocations!$E$5:$E$1700,Allocations!$B$5:$B$1700,15,Allocations!$F$5:$F$1700,"LP",Allocations!$D$5:$D$1700,"Distributions")</f>
        <v>-1372000</v>
      </c>
      <c r="G45" s="45">
        <f>-SUMIFS(Allocations!$E$5:$E$1700,Allocations!$B$5:$B$1700,15,Allocations!$F$5:$F$1700,"LP",Allocations!$D$5:$D$1700,"Capital contributions")+SUMIFS(Allocations!$E$5:$E$1700,Allocations!$B$5:$B$1700,15,Allocations!$F$5:$F$1700,"LP",Allocations!$D$5:$D$1700,"Distributions")</f>
        <v>-1372000</v>
      </c>
      <c r="H45" s="45">
        <f>-SUMIFS(Allocations!$E$5:$E$1700,Allocations!$B$5:$B$1700,15,Allocations!$F$5:$F$1700,"LP",Allocations!$D$5:$D$1700,"Capital contributions")+SUMIFS(Allocations!$E$5:$E$1700,Allocations!$B$5:$B$1700,15,Allocations!$F$5:$F$1700,"LP",Allocations!$D$5:$D$1700,"Distributions")</f>
        <v>-1372000</v>
      </c>
      <c r="I45" s="45">
        <f>-SUMIFS(Allocations!$E$5:$E$1700,Allocations!$B$5:$B$1700,15,Allocations!$F$5:$F$1700,"LP",Allocations!$D$5:$D$1700,"Capital contributions")+SUMIFS(Allocations!$E$5:$E$1700,Allocations!$B$5:$B$1700,15,Allocations!$F$5:$F$1700,"LP",Allocations!$D$5:$D$1700,"Distributions")</f>
        <v>-1372000</v>
      </c>
      <c r="J45" s="45">
        <f>-SUMIFS(Allocations!$E$5:$E$1700,Allocations!$B$5:$B$1700,15,Allocations!$F$5:$F$1700,"LP",Allocations!$D$5:$D$1700,"Capital contributions")+SUMIFS(Allocations!$E$5:$E$1700,Allocations!$B$5:$B$1700,15,Allocations!$F$5:$F$1700,"LP",Allocations!$D$5:$D$1700,"Distributions")</f>
        <v>-1372000</v>
      </c>
      <c r="K45" s="45">
        <f>-SUMIFS(Allocations!$E$5:$E$1700,Allocations!$B$5:$B$1700,15,Allocations!$F$5:$F$1700,"LP",Allocations!$D$5:$D$1700,"Capital contributions")+SUMIFS(Allocations!$E$5:$E$1700,Allocations!$B$5:$B$1700,15,Allocations!$F$5:$F$1700,"LP",Allocations!$D$5:$D$1700,"Distributions")</f>
        <v>-1372000</v>
      </c>
      <c r="L45" s="45">
        <f>-SUMIFS(Allocations!$E$5:$E$1700,Allocations!$B$5:$B$1700,15,Allocations!$F$5:$F$1700,"LP",Allocations!$D$5:$D$1700,"Capital contributions")+SUMIFS(Allocations!$E$5:$E$1700,Allocations!$B$5:$B$1700,15,Allocations!$F$5:$F$1700,"LP",Allocations!$D$5:$D$1700,"Distributions")</f>
        <v>-1372000</v>
      </c>
      <c r="M45" s="45">
        <f>-SUMIFS(Allocations!$E$5:$E$1700,Allocations!$B$5:$B$1700,15,Allocations!$F$5:$F$1700,"LP",Allocations!$D$5:$D$1700,"Capital contributions")+SUMIFS(Allocations!$E$5:$E$1700,Allocations!$B$5:$B$1700,15,Allocations!$F$5:$F$1700,"LP",Allocations!$D$5:$D$1700,"Distributions")</f>
        <v>-1372000</v>
      </c>
    </row>
    <row r="46" spans="1:13" x14ac:dyDescent="0.25">
      <c r="A46" t="s">
        <v>255</v>
      </c>
      <c r="F46" s="45">
        <f>-SUMIFS(Allocations!$E$5:$E$1700,Allocations!$B$5:$B$1700,16,Allocations!$F$5:$F$1700,"LP",Allocations!$D$5:$D$1700,"Capital contributions")+SUMIFS(Allocations!$E$5:$E$1700,Allocations!$B$5:$B$1700,16,Allocations!$F$5:$F$1700,"LP",Allocations!$D$5:$D$1700,"Distributions")</f>
        <v>-490000</v>
      </c>
      <c r="G46" s="45">
        <f>-SUMIFS(Allocations!$E$5:$E$1700,Allocations!$B$5:$B$1700,16,Allocations!$F$5:$F$1700,"LP",Allocations!$D$5:$D$1700,"Capital contributions")+SUMIFS(Allocations!$E$5:$E$1700,Allocations!$B$5:$B$1700,16,Allocations!$F$5:$F$1700,"LP",Allocations!$D$5:$D$1700,"Distributions")</f>
        <v>-490000</v>
      </c>
      <c r="H46" s="45">
        <f>-SUMIFS(Allocations!$E$5:$E$1700,Allocations!$B$5:$B$1700,16,Allocations!$F$5:$F$1700,"LP",Allocations!$D$5:$D$1700,"Capital contributions")+SUMIFS(Allocations!$E$5:$E$1700,Allocations!$B$5:$B$1700,16,Allocations!$F$5:$F$1700,"LP",Allocations!$D$5:$D$1700,"Distributions")</f>
        <v>-490000</v>
      </c>
      <c r="I46" s="45">
        <f>-SUMIFS(Allocations!$E$5:$E$1700,Allocations!$B$5:$B$1700,16,Allocations!$F$5:$F$1700,"LP",Allocations!$D$5:$D$1700,"Capital contributions")+SUMIFS(Allocations!$E$5:$E$1700,Allocations!$B$5:$B$1700,16,Allocations!$F$5:$F$1700,"LP",Allocations!$D$5:$D$1700,"Distributions")</f>
        <v>-490000</v>
      </c>
      <c r="J46" s="45">
        <f>-SUMIFS(Allocations!$E$5:$E$1700,Allocations!$B$5:$B$1700,16,Allocations!$F$5:$F$1700,"LP",Allocations!$D$5:$D$1700,"Capital contributions")+SUMIFS(Allocations!$E$5:$E$1700,Allocations!$B$5:$B$1700,16,Allocations!$F$5:$F$1700,"LP",Allocations!$D$5:$D$1700,"Distributions")</f>
        <v>-490000</v>
      </c>
      <c r="K46" s="45">
        <f>-SUMIFS(Allocations!$E$5:$E$1700,Allocations!$B$5:$B$1700,16,Allocations!$F$5:$F$1700,"LP",Allocations!$D$5:$D$1700,"Capital contributions")+SUMIFS(Allocations!$E$5:$E$1700,Allocations!$B$5:$B$1700,16,Allocations!$F$5:$F$1700,"LP",Allocations!$D$5:$D$1700,"Distributions")</f>
        <v>-490000</v>
      </c>
      <c r="L46" s="45">
        <f>-SUMIFS(Allocations!$E$5:$E$1700,Allocations!$B$5:$B$1700,16,Allocations!$F$5:$F$1700,"LP",Allocations!$D$5:$D$1700,"Capital contributions")+SUMIFS(Allocations!$E$5:$E$1700,Allocations!$B$5:$B$1700,16,Allocations!$F$5:$F$1700,"LP",Allocations!$D$5:$D$1700,"Distributions")</f>
        <v>-490000</v>
      </c>
      <c r="M46" s="45">
        <f>-SUMIFS(Allocations!$E$5:$E$1700,Allocations!$B$5:$B$1700,16,Allocations!$F$5:$F$1700,"LP",Allocations!$D$5:$D$1700,"Capital contributions")+SUMIFS(Allocations!$E$5:$E$1700,Allocations!$B$5:$B$1700,16,Allocations!$F$5:$F$1700,"LP",Allocations!$D$5:$D$1700,"Distributions")</f>
        <v>-490000</v>
      </c>
    </row>
    <row r="47" spans="1:13" x14ac:dyDescent="0.25">
      <c r="A47" t="s">
        <v>256</v>
      </c>
      <c r="F47" s="45">
        <f>-SUMIFS(Allocations!$E$5:$E$1700,Allocations!$B$5:$B$1700,17,Allocations!$F$5:$F$1700,"LP",Allocations!$D$5:$D$1700,"Capital contributions")+SUMIFS(Allocations!$E$5:$E$1700,Allocations!$B$5:$B$1700,17,Allocations!$F$5:$F$1700,"LP",Allocations!$D$5:$D$1700,"Distributions")</f>
        <v>-6272000</v>
      </c>
      <c r="G47" s="45">
        <f>-SUMIFS(Allocations!$E$5:$E$1700,Allocations!$B$5:$B$1700,17,Allocations!$F$5:$F$1700,"LP",Allocations!$D$5:$D$1700,"Capital contributions")+SUMIFS(Allocations!$E$5:$E$1700,Allocations!$B$5:$B$1700,17,Allocations!$F$5:$F$1700,"LP",Allocations!$D$5:$D$1700,"Distributions")</f>
        <v>-6272000</v>
      </c>
      <c r="H47" s="45">
        <f>-SUMIFS(Allocations!$E$5:$E$1700,Allocations!$B$5:$B$1700,17,Allocations!$F$5:$F$1700,"LP",Allocations!$D$5:$D$1700,"Capital contributions")+SUMIFS(Allocations!$E$5:$E$1700,Allocations!$B$5:$B$1700,17,Allocations!$F$5:$F$1700,"LP",Allocations!$D$5:$D$1700,"Distributions")</f>
        <v>-6272000</v>
      </c>
      <c r="I47" s="45">
        <f>-SUMIFS(Allocations!$E$5:$E$1700,Allocations!$B$5:$B$1700,17,Allocations!$F$5:$F$1700,"LP",Allocations!$D$5:$D$1700,"Capital contributions")+SUMIFS(Allocations!$E$5:$E$1700,Allocations!$B$5:$B$1700,17,Allocations!$F$5:$F$1700,"LP",Allocations!$D$5:$D$1700,"Distributions")</f>
        <v>-6272000</v>
      </c>
      <c r="J47" s="45">
        <f>-SUMIFS(Allocations!$E$5:$E$1700,Allocations!$B$5:$B$1700,17,Allocations!$F$5:$F$1700,"LP",Allocations!$D$5:$D$1700,"Capital contributions")+SUMIFS(Allocations!$E$5:$E$1700,Allocations!$B$5:$B$1700,17,Allocations!$F$5:$F$1700,"LP",Allocations!$D$5:$D$1700,"Distributions")</f>
        <v>-6272000</v>
      </c>
      <c r="K47" s="45">
        <f>-SUMIFS(Allocations!$E$5:$E$1700,Allocations!$B$5:$B$1700,17,Allocations!$F$5:$F$1700,"LP",Allocations!$D$5:$D$1700,"Capital contributions")+SUMIFS(Allocations!$E$5:$E$1700,Allocations!$B$5:$B$1700,17,Allocations!$F$5:$F$1700,"LP",Allocations!$D$5:$D$1700,"Distributions")</f>
        <v>-6272000</v>
      </c>
      <c r="L47" s="45">
        <f>-SUMIFS(Allocations!$E$5:$E$1700,Allocations!$B$5:$B$1700,17,Allocations!$F$5:$F$1700,"LP",Allocations!$D$5:$D$1700,"Capital contributions")+SUMIFS(Allocations!$E$5:$E$1700,Allocations!$B$5:$B$1700,17,Allocations!$F$5:$F$1700,"LP",Allocations!$D$5:$D$1700,"Distributions")</f>
        <v>-6272000</v>
      </c>
      <c r="M47" s="45">
        <f>-SUMIFS(Allocations!$E$5:$E$1700,Allocations!$B$5:$B$1700,17,Allocations!$F$5:$F$1700,"LP",Allocations!$D$5:$D$1700,"Capital contributions")+SUMIFS(Allocations!$E$5:$E$1700,Allocations!$B$5:$B$1700,17,Allocations!$F$5:$F$1700,"LP",Allocations!$D$5:$D$1700,"Distributions")</f>
        <v>-6272000</v>
      </c>
    </row>
    <row r="48" spans="1:13" x14ac:dyDescent="0.25">
      <c r="A48" t="s">
        <v>257</v>
      </c>
      <c r="F48" s="45">
        <f>-SUMIFS(Allocations!$E$5:$E$1700,Allocations!$B$5:$B$1700,18,Allocations!$F$5:$F$1700,"LP",Allocations!$D$5:$D$1700,"Capital contributions")+SUMIFS(Allocations!$E$5:$E$1700,Allocations!$B$5:$B$1700,18,Allocations!$F$5:$F$1700,"LP",Allocations!$D$5:$D$1700,"Distributions")</f>
        <v>-5292000</v>
      </c>
      <c r="G48" s="45">
        <f>-SUMIFS(Allocations!$E$5:$E$1700,Allocations!$B$5:$B$1700,18,Allocations!$F$5:$F$1700,"LP",Allocations!$D$5:$D$1700,"Capital contributions")+SUMIFS(Allocations!$E$5:$E$1700,Allocations!$B$5:$B$1700,18,Allocations!$F$5:$F$1700,"LP",Allocations!$D$5:$D$1700,"Distributions")</f>
        <v>-5292000</v>
      </c>
      <c r="H48" s="45">
        <f>-SUMIFS(Allocations!$E$5:$E$1700,Allocations!$B$5:$B$1700,18,Allocations!$F$5:$F$1700,"LP",Allocations!$D$5:$D$1700,"Capital contributions")+SUMIFS(Allocations!$E$5:$E$1700,Allocations!$B$5:$B$1700,18,Allocations!$F$5:$F$1700,"LP",Allocations!$D$5:$D$1700,"Distributions")</f>
        <v>-5292000</v>
      </c>
      <c r="I48" s="45">
        <f>-SUMIFS(Allocations!$E$5:$E$1700,Allocations!$B$5:$B$1700,18,Allocations!$F$5:$F$1700,"LP",Allocations!$D$5:$D$1700,"Capital contributions")+SUMIFS(Allocations!$E$5:$E$1700,Allocations!$B$5:$B$1700,18,Allocations!$F$5:$F$1700,"LP",Allocations!$D$5:$D$1700,"Distributions")</f>
        <v>-5292000</v>
      </c>
      <c r="J48" s="45">
        <f>-SUMIFS(Allocations!$E$5:$E$1700,Allocations!$B$5:$B$1700,18,Allocations!$F$5:$F$1700,"LP",Allocations!$D$5:$D$1700,"Capital contributions")+SUMIFS(Allocations!$E$5:$E$1700,Allocations!$B$5:$B$1700,18,Allocations!$F$5:$F$1700,"LP",Allocations!$D$5:$D$1700,"Distributions")</f>
        <v>-5292000</v>
      </c>
      <c r="K48" s="45">
        <f>-SUMIFS(Allocations!$E$5:$E$1700,Allocations!$B$5:$B$1700,18,Allocations!$F$5:$F$1700,"LP",Allocations!$D$5:$D$1700,"Capital contributions")+SUMIFS(Allocations!$E$5:$E$1700,Allocations!$B$5:$B$1700,18,Allocations!$F$5:$F$1700,"LP",Allocations!$D$5:$D$1700,"Distributions")</f>
        <v>-5292000</v>
      </c>
      <c r="L48" s="45">
        <f>-SUMIFS(Allocations!$E$5:$E$1700,Allocations!$B$5:$B$1700,18,Allocations!$F$5:$F$1700,"LP",Allocations!$D$5:$D$1700,"Capital contributions")+SUMIFS(Allocations!$E$5:$E$1700,Allocations!$B$5:$B$1700,18,Allocations!$F$5:$F$1700,"LP",Allocations!$D$5:$D$1700,"Distributions")</f>
        <v>-5292000</v>
      </c>
      <c r="M48" s="45">
        <f>-SUMIFS(Allocations!$E$5:$E$1700,Allocations!$B$5:$B$1700,18,Allocations!$F$5:$F$1700,"LP",Allocations!$D$5:$D$1700,"Capital contributions")+SUMIFS(Allocations!$E$5:$E$1700,Allocations!$B$5:$B$1700,18,Allocations!$F$5:$F$1700,"LP",Allocations!$D$5:$D$1700,"Distributions")</f>
        <v>-5292000</v>
      </c>
    </row>
    <row r="49" spans="1:13" x14ac:dyDescent="0.25">
      <c r="A49" t="s">
        <v>258</v>
      </c>
      <c r="F49" s="45">
        <f>-SUMIFS(Allocations!$E$5:$E$1700,Allocations!$B$5:$B$1700,19,Allocations!$F$5:$F$1700,"LP",Allocations!$D$5:$D$1700,"Capital contributions")+SUMIFS(Allocations!$E$5:$E$1700,Allocations!$B$5:$B$1700,19,Allocations!$F$5:$F$1700,"LP",Allocations!$D$5:$D$1700,"Distributions")+F6</f>
        <v>243883649.98000002</v>
      </c>
      <c r="G49" s="45">
        <f>-SUMIFS(Allocations!$E$5:$E$1700,Allocations!$B$5:$B$1700,19,Allocations!$F$5:$F$1700,"LP",Allocations!$D$5:$D$1700,"Capital contributions")+SUMIFS(Allocations!$E$5:$E$1700,Allocations!$B$5:$B$1700,19,Allocations!$F$5:$F$1700,"LP",Allocations!$D$5:$D$1700,"Distributions")</f>
        <v>-1274000</v>
      </c>
      <c r="H49" s="45">
        <f>-SUMIFS(Allocations!$E$5:$E$1700,Allocations!$B$5:$B$1700,19,Allocations!$F$5:$F$1700,"LP",Allocations!$D$5:$D$1700,"Capital contributions")+SUMIFS(Allocations!$E$5:$E$1700,Allocations!$B$5:$B$1700,19,Allocations!$F$5:$F$1700,"LP",Allocations!$D$5:$D$1700,"Distributions")</f>
        <v>-1274000</v>
      </c>
      <c r="I49" s="45">
        <f>-SUMIFS(Allocations!$E$5:$E$1700,Allocations!$B$5:$B$1700,19,Allocations!$F$5:$F$1700,"LP",Allocations!$D$5:$D$1700,"Capital contributions")+SUMIFS(Allocations!$E$5:$E$1700,Allocations!$B$5:$B$1700,19,Allocations!$F$5:$F$1700,"LP",Allocations!$D$5:$D$1700,"Distributions")</f>
        <v>-1274000</v>
      </c>
      <c r="J49" s="45">
        <f>-SUMIFS(Allocations!$E$5:$E$1700,Allocations!$B$5:$B$1700,19,Allocations!$F$5:$F$1700,"LP",Allocations!$D$5:$D$1700,"Capital contributions")+SUMIFS(Allocations!$E$5:$E$1700,Allocations!$B$5:$B$1700,19,Allocations!$F$5:$F$1700,"LP",Allocations!$D$5:$D$1700,"Distributions")</f>
        <v>-1274000</v>
      </c>
      <c r="K49" s="45">
        <f>-SUMIFS(Allocations!$E$5:$E$1700,Allocations!$B$5:$B$1700,19,Allocations!$F$5:$F$1700,"LP",Allocations!$D$5:$D$1700,"Capital contributions")+SUMIFS(Allocations!$E$5:$E$1700,Allocations!$B$5:$B$1700,19,Allocations!$F$5:$F$1700,"LP",Allocations!$D$5:$D$1700,"Distributions")</f>
        <v>-1274000</v>
      </c>
      <c r="L49" s="45">
        <f>-SUMIFS(Allocations!$E$5:$E$1700,Allocations!$B$5:$B$1700,19,Allocations!$F$5:$F$1700,"LP",Allocations!$D$5:$D$1700,"Capital contributions")+SUMIFS(Allocations!$E$5:$E$1700,Allocations!$B$5:$B$1700,19,Allocations!$F$5:$F$1700,"LP",Allocations!$D$5:$D$1700,"Distributions")</f>
        <v>-1274000</v>
      </c>
      <c r="M49" s="45">
        <f>-SUMIFS(Allocations!$E$5:$E$1700,Allocations!$B$5:$B$1700,19,Allocations!$F$5:$F$1700,"LP",Allocations!$D$5:$D$1700,"Capital contributions")+SUMIFS(Allocations!$E$5:$E$1700,Allocations!$B$5:$B$1700,19,Allocations!$F$5:$F$1700,"LP",Allocations!$D$5:$D$1700,"Distributions")</f>
        <v>-1274000</v>
      </c>
    </row>
    <row r="50" spans="1:13" x14ac:dyDescent="0.25">
      <c r="A50" t="s">
        <v>259</v>
      </c>
      <c r="G50" s="45">
        <f>-SUMIFS(Allocations!$E$5:$E$1700,Allocations!$B$5:$B$1700,20,Allocations!$F$5:$F$1700,"LP",Allocations!$D$5:$D$1700,"Capital contributions")+SUMIFS(Allocations!$E$5:$E$1700,Allocations!$B$5:$B$1700,20,Allocations!$F$5:$F$1700,"LP",Allocations!$D$5:$D$1700,"Distributions")</f>
        <v>-588000</v>
      </c>
      <c r="H50" s="45">
        <f>-SUMIFS(Allocations!$E$5:$E$1700,Allocations!$B$5:$B$1700,20,Allocations!$F$5:$F$1700,"LP",Allocations!$D$5:$D$1700,"Capital contributions")+SUMIFS(Allocations!$E$5:$E$1700,Allocations!$B$5:$B$1700,20,Allocations!$F$5:$F$1700,"LP",Allocations!$D$5:$D$1700,"Distributions")</f>
        <v>-588000</v>
      </c>
      <c r="I50" s="45">
        <f>-SUMIFS(Allocations!$E$5:$E$1700,Allocations!$B$5:$B$1700,20,Allocations!$F$5:$F$1700,"LP",Allocations!$D$5:$D$1700,"Capital contributions")+SUMIFS(Allocations!$E$5:$E$1700,Allocations!$B$5:$B$1700,20,Allocations!$F$5:$F$1700,"LP",Allocations!$D$5:$D$1700,"Distributions")</f>
        <v>-588000</v>
      </c>
      <c r="J50" s="45">
        <f>-SUMIFS(Allocations!$E$5:$E$1700,Allocations!$B$5:$B$1700,20,Allocations!$F$5:$F$1700,"LP",Allocations!$D$5:$D$1700,"Capital contributions")+SUMIFS(Allocations!$E$5:$E$1700,Allocations!$B$5:$B$1700,20,Allocations!$F$5:$F$1700,"LP",Allocations!$D$5:$D$1700,"Distributions")</f>
        <v>-588000</v>
      </c>
      <c r="K50" s="45">
        <f>-SUMIFS(Allocations!$E$5:$E$1700,Allocations!$B$5:$B$1700,20,Allocations!$F$5:$F$1700,"LP",Allocations!$D$5:$D$1700,"Capital contributions")+SUMIFS(Allocations!$E$5:$E$1700,Allocations!$B$5:$B$1700,20,Allocations!$F$5:$F$1700,"LP",Allocations!$D$5:$D$1700,"Distributions")</f>
        <v>-588000</v>
      </c>
      <c r="L50" s="45">
        <f>-SUMIFS(Allocations!$E$5:$E$1700,Allocations!$B$5:$B$1700,20,Allocations!$F$5:$F$1700,"LP",Allocations!$D$5:$D$1700,"Capital contributions")+SUMIFS(Allocations!$E$5:$E$1700,Allocations!$B$5:$B$1700,20,Allocations!$F$5:$F$1700,"LP",Allocations!$D$5:$D$1700,"Distributions")</f>
        <v>-588000</v>
      </c>
      <c r="M50" s="45">
        <f>-SUMIFS(Allocations!$E$5:$E$1700,Allocations!$B$5:$B$1700,20,Allocations!$F$5:$F$1700,"LP",Allocations!$D$5:$D$1700,"Capital contributions")+SUMIFS(Allocations!$E$5:$E$1700,Allocations!$B$5:$B$1700,20,Allocations!$F$5:$F$1700,"LP",Allocations!$D$5:$D$1700,"Distributions")</f>
        <v>-588000</v>
      </c>
    </row>
    <row r="51" spans="1:13" x14ac:dyDescent="0.25">
      <c r="A51" t="s">
        <v>260</v>
      </c>
      <c r="G51" s="45">
        <f>-SUMIFS(Allocations!$E$5:$E$1700,Allocations!$B$5:$B$1700,21,Allocations!$F$5:$F$1700,"LP",Allocations!$D$5:$D$1700,"Capital contributions")+SUMIFS(Allocations!$E$5:$E$1700,Allocations!$B$5:$B$1700,21,Allocations!$F$5:$F$1700,"LP",Allocations!$D$5:$D$1700,"Distributions")</f>
        <v>-1372000</v>
      </c>
      <c r="H51" s="45">
        <f>-SUMIFS(Allocations!$E$5:$E$1700,Allocations!$B$5:$B$1700,21,Allocations!$F$5:$F$1700,"LP",Allocations!$D$5:$D$1700,"Capital contributions")+SUMIFS(Allocations!$E$5:$E$1700,Allocations!$B$5:$B$1700,21,Allocations!$F$5:$F$1700,"LP",Allocations!$D$5:$D$1700,"Distributions")</f>
        <v>-1372000</v>
      </c>
      <c r="I51" s="45">
        <f>-SUMIFS(Allocations!$E$5:$E$1700,Allocations!$B$5:$B$1700,21,Allocations!$F$5:$F$1700,"LP",Allocations!$D$5:$D$1700,"Capital contributions")+SUMIFS(Allocations!$E$5:$E$1700,Allocations!$B$5:$B$1700,21,Allocations!$F$5:$F$1700,"LP",Allocations!$D$5:$D$1700,"Distributions")</f>
        <v>-1372000</v>
      </c>
      <c r="J51" s="45">
        <f>-SUMIFS(Allocations!$E$5:$E$1700,Allocations!$B$5:$B$1700,21,Allocations!$F$5:$F$1700,"LP",Allocations!$D$5:$D$1700,"Capital contributions")+SUMIFS(Allocations!$E$5:$E$1700,Allocations!$B$5:$B$1700,21,Allocations!$F$5:$F$1700,"LP",Allocations!$D$5:$D$1700,"Distributions")</f>
        <v>-1372000</v>
      </c>
      <c r="K51" s="45">
        <f>-SUMIFS(Allocations!$E$5:$E$1700,Allocations!$B$5:$B$1700,21,Allocations!$F$5:$F$1700,"LP",Allocations!$D$5:$D$1700,"Capital contributions")+SUMIFS(Allocations!$E$5:$E$1700,Allocations!$B$5:$B$1700,21,Allocations!$F$5:$F$1700,"LP",Allocations!$D$5:$D$1700,"Distributions")</f>
        <v>-1372000</v>
      </c>
      <c r="L51" s="45">
        <f>-SUMIFS(Allocations!$E$5:$E$1700,Allocations!$B$5:$B$1700,21,Allocations!$F$5:$F$1700,"LP",Allocations!$D$5:$D$1700,"Capital contributions")+SUMIFS(Allocations!$E$5:$E$1700,Allocations!$B$5:$B$1700,21,Allocations!$F$5:$F$1700,"LP",Allocations!$D$5:$D$1700,"Distributions")</f>
        <v>-1372000</v>
      </c>
      <c r="M51" s="45">
        <f>-SUMIFS(Allocations!$E$5:$E$1700,Allocations!$B$5:$B$1700,21,Allocations!$F$5:$F$1700,"LP",Allocations!$D$5:$D$1700,"Capital contributions")+SUMIFS(Allocations!$E$5:$E$1700,Allocations!$B$5:$B$1700,21,Allocations!$F$5:$F$1700,"LP",Allocations!$D$5:$D$1700,"Distributions")</f>
        <v>-1372000</v>
      </c>
    </row>
    <row r="52" spans="1:13" x14ac:dyDescent="0.25">
      <c r="A52" t="s">
        <v>261</v>
      </c>
      <c r="G52" s="45">
        <f>-SUMIFS(Allocations!$E$5:$E$1700,Allocations!$B$5:$B$1700,22,Allocations!$F$5:$F$1700,"LP",Allocations!$D$5:$D$1700,"Capital contributions")+SUMIFS(Allocations!$E$5:$E$1700,Allocations!$B$5:$B$1700,22,Allocations!$F$5:$F$1700,"LP",Allocations!$D$5:$D$1700,"Distributions")</f>
        <v>111930420.22</v>
      </c>
      <c r="H52" s="45">
        <f>-SUMIFS(Allocations!$E$5:$E$1700,Allocations!$B$5:$B$1700,22,Allocations!$F$5:$F$1700,"LP",Allocations!$D$5:$D$1700,"Capital contributions")+SUMIFS(Allocations!$E$5:$E$1700,Allocations!$B$5:$B$1700,22,Allocations!$F$5:$F$1700,"LP",Allocations!$D$5:$D$1700,"Distributions")</f>
        <v>111930420.22</v>
      </c>
      <c r="I52" s="45">
        <f>-SUMIFS(Allocations!$E$5:$E$1700,Allocations!$B$5:$B$1700,22,Allocations!$F$5:$F$1700,"LP",Allocations!$D$5:$D$1700,"Capital contributions")+SUMIFS(Allocations!$E$5:$E$1700,Allocations!$B$5:$B$1700,22,Allocations!$F$5:$F$1700,"LP",Allocations!$D$5:$D$1700,"Distributions")</f>
        <v>111930420.22</v>
      </c>
      <c r="J52" s="45">
        <f>-SUMIFS(Allocations!$E$5:$E$1700,Allocations!$B$5:$B$1700,22,Allocations!$F$5:$F$1700,"LP",Allocations!$D$5:$D$1700,"Capital contributions")+SUMIFS(Allocations!$E$5:$E$1700,Allocations!$B$5:$B$1700,22,Allocations!$F$5:$F$1700,"LP",Allocations!$D$5:$D$1700,"Distributions")</f>
        <v>111930420.22</v>
      </c>
      <c r="K52" s="45">
        <f>-SUMIFS(Allocations!$E$5:$E$1700,Allocations!$B$5:$B$1700,22,Allocations!$F$5:$F$1700,"LP",Allocations!$D$5:$D$1700,"Capital contributions")+SUMIFS(Allocations!$E$5:$E$1700,Allocations!$B$5:$B$1700,22,Allocations!$F$5:$F$1700,"LP",Allocations!$D$5:$D$1700,"Distributions")</f>
        <v>111930420.22</v>
      </c>
      <c r="L52" s="45">
        <f>-SUMIFS(Allocations!$E$5:$E$1700,Allocations!$B$5:$B$1700,22,Allocations!$F$5:$F$1700,"LP",Allocations!$D$5:$D$1700,"Capital contributions")+SUMIFS(Allocations!$E$5:$E$1700,Allocations!$B$5:$B$1700,22,Allocations!$F$5:$F$1700,"LP",Allocations!$D$5:$D$1700,"Distributions")</f>
        <v>111930420.22</v>
      </c>
      <c r="M52" s="45">
        <f>-SUMIFS(Allocations!$E$5:$E$1700,Allocations!$B$5:$B$1700,22,Allocations!$F$5:$F$1700,"LP",Allocations!$D$5:$D$1700,"Capital contributions")+SUMIFS(Allocations!$E$5:$E$1700,Allocations!$B$5:$B$1700,22,Allocations!$F$5:$F$1700,"LP",Allocations!$D$5:$D$1700,"Distributions")</f>
        <v>111930420.22</v>
      </c>
    </row>
    <row r="53" spans="1:13" x14ac:dyDescent="0.25">
      <c r="A53" t="s">
        <v>264</v>
      </c>
      <c r="G53" s="45">
        <f>-SUMIFS(Allocations!$E$5:$E$1700,Allocations!$B$5:$B$1700,23,Allocations!$F$5:$F$1700,"LP",Allocations!$D$5:$D$1700,"Capital contributions")+SUMIFS(Allocations!$E$5:$E$1700,Allocations!$B$5:$B$1700,23,Allocations!$F$5:$F$1700,"LP",Allocations!$D$5:$D$1700,"Distributions")+G6</f>
        <v>165792024.28999996</v>
      </c>
      <c r="H53" s="45">
        <f>-SUMIFS(Allocations!$E$5:$E$1700,Allocations!$B$5:$B$1700,23,Allocations!$F$5:$F$1700,"LP",Allocations!$D$5:$D$1700,"Capital contributions")+SUMIFS(Allocations!$E$5:$E$1700,Allocations!$B$5:$B$1700,23,Allocations!$F$5:$F$1700,"LP",Allocations!$D$5:$D$1700,"Distributions")</f>
        <v>0</v>
      </c>
      <c r="I53" s="45">
        <f>-SUMIFS(Allocations!$E$5:$E$1700,Allocations!$B$5:$B$1700,23,Allocations!$F$5:$F$1700,"LP",Allocations!$D$5:$D$1700,"Capital contributions")+SUMIFS(Allocations!$E$5:$E$1700,Allocations!$B$5:$B$1700,23,Allocations!$F$5:$F$1700,"LP",Allocations!$D$5:$D$1700,"Distributions")</f>
        <v>0</v>
      </c>
      <c r="J53" s="45">
        <f>-SUMIFS(Allocations!$E$5:$E$1700,Allocations!$B$5:$B$1700,23,Allocations!$F$5:$F$1700,"LP",Allocations!$D$5:$D$1700,"Capital contributions")+SUMIFS(Allocations!$E$5:$E$1700,Allocations!$B$5:$B$1700,23,Allocations!$F$5:$F$1700,"LP",Allocations!$D$5:$D$1700,"Distributions")</f>
        <v>0</v>
      </c>
      <c r="K53" s="45">
        <f>-SUMIFS(Allocations!$E$5:$E$1700,Allocations!$B$5:$B$1700,23,Allocations!$F$5:$F$1700,"LP",Allocations!$D$5:$D$1700,"Capital contributions")+SUMIFS(Allocations!$E$5:$E$1700,Allocations!$B$5:$B$1700,23,Allocations!$F$5:$F$1700,"LP",Allocations!$D$5:$D$1700,"Distributions")</f>
        <v>0</v>
      </c>
      <c r="L53" s="45">
        <f>-SUMIFS(Allocations!$E$5:$E$1700,Allocations!$B$5:$B$1700,23,Allocations!$F$5:$F$1700,"LP",Allocations!$D$5:$D$1700,"Capital contributions")+SUMIFS(Allocations!$E$5:$E$1700,Allocations!$B$5:$B$1700,23,Allocations!$F$5:$F$1700,"LP",Allocations!$D$5:$D$1700,"Distributions")</f>
        <v>0</v>
      </c>
      <c r="M53" s="45">
        <f>-SUMIFS(Allocations!$E$5:$E$1700,Allocations!$B$5:$B$1700,23,Allocations!$F$5:$F$1700,"LP",Allocations!$D$5:$D$1700,"Capital contributions")+SUMIFS(Allocations!$E$5:$E$1700,Allocations!$B$5:$B$1700,23,Allocations!$F$5:$F$1700,"LP",Allocations!$D$5:$D$1700,"Distributions")</f>
        <v>0</v>
      </c>
    </row>
    <row r="54" spans="1:13" x14ac:dyDescent="0.25">
      <c r="A54" t="s">
        <v>265</v>
      </c>
      <c r="H54" s="45">
        <f>-SUMIFS(Allocations!$E$5:$E$1700,Allocations!$B$5:$B$1700,24,Allocations!$F$5:$F$1700,"LP",Allocations!$D$5:$D$1700,"Capital contributions")+SUMIFS(Allocations!$E$5:$E$1700,Allocations!$B$5:$B$1700,24,Allocations!$F$5:$F$1700,"LP",Allocations!$D$5:$D$1700,"Distributions")</f>
        <v>0</v>
      </c>
      <c r="I54" s="45">
        <f>-SUMIFS(Allocations!$E$5:$E$1700,Allocations!$B$5:$B$1700,24,Allocations!$F$5:$F$1700,"LP",Allocations!$D$5:$D$1700,"Capital contributions")+SUMIFS(Allocations!$E$5:$E$1700,Allocations!$B$5:$B$1700,24,Allocations!$F$5:$F$1700,"LP",Allocations!$D$5:$D$1700,"Distributions")</f>
        <v>0</v>
      </c>
      <c r="J54" s="45">
        <f>-SUMIFS(Allocations!$E$5:$E$1700,Allocations!$B$5:$B$1700,24,Allocations!$F$5:$F$1700,"LP",Allocations!$D$5:$D$1700,"Capital contributions")+SUMIFS(Allocations!$E$5:$E$1700,Allocations!$B$5:$B$1700,24,Allocations!$F$5:$F$1700,"LP",Allocations!$D$5:$D$1700,"Distributions")</f>
        <v>0</v>
      </c>
      <c r="K54" s="45">
        <f>-SUMIFS(Allocations!$E$5:$E$1700,Allocations!$B$5:$B$1700,24,Allocations!$F$5:$F$1700,"LP",Allocations!$D$5:$D$1700,"Capital contributions")+SUMIFS(Allocations!$E$5:$E$1700,Allocations!$B$5:$B$1700,24,Allocations!$F$5:$F$1700,"LP",Allocations!$D$5:$D$1700,"Distributions")</f>
        <v>0</v>
      </c>
      <c r="L54" s="45">
        <f>-SUMIFS(Allocations!$E$5:$E$1700,Allocations!$B$5:$B$1700,24,Allocations!$F$5:$F$1700,"LP",Allocations!$D$5:$D$1700,"Capital contributions")+SUMIFS(Allocations!$E$5:$E$1700,Allocations!$B$5:$B$1700,24,Allocations!$F$5:$F$1700,"LP",Allocations!$D$5:$D$1700,"Distributions")</f>
        <v>0</v>
      </c>
      <c r="M54" s="45">
        <f>-SUMIFS(Allocations!$E$5:$E$1700,Allocations!$B$5:$B$1700,24,Allocations!$F$5:$F$1700,"LP",Allocations!$D$5:$D$1700,"Capital contributions")+SUMIFS(Allocations!$E$5:$E$1700,Allocations!$B$5:$B$1700,24,Allocations!$F$5:$F$1700,"LP",Allocations!$D$5:$D$1700,"Distributions")</f>
        <v>0</v>
      </c>
    </row>
    <row r="55" spans="1:13" x14ac:dyDescent="0.25">
      <c r="A55" t="s">
        <v>266</v>
      </c>
      <c r="H55" s="45">
        <f>-SUMIFS(Allocations!$E$5:$E$1700,Allocations!$B$5:$B$1700,25,Allocations!$F$5:$F$1700,"LP",Allocations!$D$5:$D$1700,"Capital contributions")+SUMIFS(Allocations!$E$5:$E$1700,Allocations!$B$5:$B$1700,25,Allocations!$F$5:$F$1700,"LP",Allocations!$D$5:$D$1700,"Distributions")</f>
        <v>24161475.879999999</v>
      </c>
      <c r="I55" s="45">
        <f>-SUMIFS(Allocations!$E$5:$E$1700,Allocations!$B$5:$B$1700,25,Allocations!$F$5:$F$1700,"LP",Allocations!$D$5:$D$1700,"Capital contributions")+SUMIFS(Allocations!$E$5:$E$1700,Allocations!$B$5:$B$1700,25,Allocations!$F$5:$F$1700,"LP",Allocations!$D$5:$D$1700,"Distributions")</f>
        <v>24161475.879999999</v>
      </c>
      <c r="J55" s="45">
        <f>-SUMIFS(Allocations!$E$5:$E$1700,Allocations!$B$5:$B$1700,25,Allocations!$F$5:$F$1700,"LP",Allocations!$D$5:$D$1700,"Capital contributions")+SUMIFS(Allocations!$E$5:$E$1700,Allocations!$B$5:$B$1700,25,Allocations!$F$5:$F$1700,"LP",Allocations!$D$5:$D$1700,"Distributions")</f>
        <v>24161475.879999999</v>
      </c>
      <c r="K55" s="45">
        <f>-SUMIFS(Allocations!$E$5:$E$1700,Allocations!$B$5:$B$1700,25,Allocations!$F$5:$F$1700,"LP",Allocations!$D$5:$D$1700,"Capital contributions")+SUMIFS(Allocations!$E$5:$E$1700,Allocations!$B$5:$B$1700,25,Allocations!$F$5:$F$1700,"LP",Allocations!$D$5:$D$1700,"Distributions")</f>
        <v>24161475.879999999</v>
      </c>
      <c r="L55" s="45">
        <f>-SUMIFS(Allocations!$E$5:$E$1700,Allocations!$B$5:$B$1700,25,Allocations!$F$5:$F$1700,"LP",Allocations!$D$5:$D$1700,"Capital contributions")+SUMIFS(Allocations!$E$5:$E$1700,Allocations!$B$5:$B$1700,25,Allocations!$F$5:$F$1700,"LP",Allocations!$D$5:$D$1700,"Distributions")</f>
        <v>24161475.879999999</v>
      </c>
      <c r="M55" s="45">
        <f>-SUMIFS(Allocations!$E$5:$E$1700,Allocations!$B$5:$B$1700,25,Allocations!$F$5:$F$1700,"LP",Allocations!$D$5:$D$1700,"Capital contributions")+SUMIFS(Allocations!$E$5:$E$1700,Allocations!$B$5:$B$1700,25,Allocations!$F$5:$F$1700,"LP",Allocations!$D$5:$D$1700,"Distributions")</f>
        <v>24161475.879999999</v>
      </c>
    </row>
    <row r="56" spans="1:13" x14ac:dyDescent="0.25">
      <c r="A56" t="s">
        <v>267</v>
      </c>
      <c r="H56" s="45">
        <f>-SUMIFS(Allocations!$E$5:$E$1700,Allocations!$B$5:$B$1700,26,Allocations!$F$5:$F$1700,"LP",Allocations!$D$5:$D$1700,"Capital contributions")+SUMIFS(Allocations!$E$5:$E$1700,Allocations!$B$5:$B$1700,26,Allocations!$F$5:$F$1700,"LP",Allocations!$D$5:$D$1700,"Distributions")</f>
        <v>0</v>
      </c>
      <c r="I56" s="45">
        <f>-SUMIFS(Allocations!$E$5:$E$1700,Allocations!$B$5:$B$1700,26,Allocations!$F$5:$F$1700,"LP",Allocations!$D$5:$D$1700,"Capital contributions")+SUMIFS(Allocations!$E$5:$E$1700,Allocations!$B$5:$B$1700,26,Allocations!$F$5:$F$1700,"LP",Allocations!$D$5:$D$1700,"Distributions")</f>
        <v>0</v>
      </c>
      <c r="J56" s="45">
        <f>-SUMIFS(Allocations!$E$5:$E$1700,Allocations!$B$5:$B$1700,26,Allocations!$F$5:$F$1700,"LP",Allocations!$D$5:$D$1700,"Capital contributions")+SUMIFS(Allocations!$E$5:$E$1700,Allocations!$B$5:$B$1700,26,Allocations!$F$5:$F$1700,"LP",Allocations!$D$5:$D$1700,"Distributions")</f>
        <v>0</v>
      </c>
      <c r="K56" s="45">
        <f>-SUMIFS(Allocations!$E$5:$E$1700,Allocations!$B$5:$B$1700,26,Allocations!$F$5:$F$1700,"LP",Allocations!$D$5:$D$1700,"Capital contributions")+SUMIFS(Allocations!$E$5:$E$1700,Allocations!$B$5:$B$1700,26,Allocations!$F$5:$F$1700,"LP",Allocations!$D$5:$D$1700,"Distributions")</f>
        <v>0</v>
      </c>
      <c r="L56" s="45">
        <f>-SUMIFS(Allocations!$E$5:$E$1700,Allocations!$B$5:$B$1700,26,Allocations!$F$5:$F$1700,"LP",Allocations!$D$5:$D$1700,"Capital contributions")+SUMIFS(Allocations!$E$5:$E$1700,Allocations!$B$5:$B$1700,26,Allocations!$F$5:$F$1700,"LP",Allocations!$D$5:$D$1700,"Distributions")</f>
        <v>0</v>
      </c>
      <c r="M56" s="45">
        <f>-SUMIFS(Allocations!$E$5:$E$1700,Allocations!$B$5:$B$1700,26,Allocations!$F$5:$F$1700,"LP",Allocations!$D$5:$D$1700,"Capital contributions")+SUMIFS(Allocations!$E$5:$E$1700,Allocations!$B$5:$B$1700,26,Allocations!$F$5:$F$1700,"LP",Allocations!$D$5:$D$1700,"Distributions")</f>
        <v>0</v>
      </c>
    </row>
    <row r="57" spans="1:13" x14ac:dyDescent="0.25">
      <c r="A57" t="s">
        <v>268</v>
      </c>
      <c r="H57" s="45">
        <f>-SUMIFS(Allocations!$E$5:$E$1700,Allocations!$B$5:$B$1700,27,Allocations!$F$5:$F$1700,"LP",Allocations!$D$5:$D$1700,"Capital contributions")+SUMIFS(Allocations!$E$5:$E$1700,Allocations!$B$5:$B$1700,27,Allocations!$F$5:$F$1700,"LP",Allocations!$D$5:$D$1700,"Distributions")+H6</f>
        <v>153089999.70999968</v>
      </c>
      <c r="I57" s="45">
        <f>-SUMIFS(Allocations!$E$5:$E$1700,Allocations!$B$5:$B$1700,27,Allocations!$F$5:$F$1700,"LP",Allocations!$D$5:$D$1700,"Capital contributions")+SUMIFS(Allocations!$E$5:$E$1700,Allocations!$B$5:$B$1700,27,Allocations!$F$5:$F$1700,"LP",Allocations!$D$5:$D$1700,"Distributions")</f>
        <v>0</v>
      </c>
      <c r="J57" s="45">
        <f>-SUMIFS(Allocations!$E$5:$E$1700,Allocations!$B$5:$B$1700,27,Allocations!$F$5:$F$1700,"LP",Allocations!$D$5:$D$1700,"Capital contributions")+SUMIFS(Allocations!$E$5:$E$1700,Allocations!$B$5:$B$1700,27,Allocations!$F$5:$F$1700,"LP",Allocations!$D$5:$D$1700,"Distributions")</f>
        <v>0</v>
      </c>
      <c r="K57" s="45">
        <f>-SUMIFS(Allocations!$E$5:$E$1700,Allocations!$B$5:$B$1700,27,Allocations!$F$5:$F$1700,"LP",Allocations!$D$5:$D$1700,"Capital contributions")+SUMIFS(Allocations!$E$5:$E$1700,Allocations!$B$5:$B$1700,27,Allocations!$F$5:$F$1700,"LP",Allocations!$D$5:$D$1700,"Distributions")</f>
        <v>0</v>
      </c>
      <c r="L57" s="45">
        <f>-SUMIFS(Allocations!$E$5:$E$1700,Allocations!$B$5:$B$1700,27,Allocations!$F$5:$F$1700,"LP",Allocations!$D$5:$D$1700,"Capital contributions")+SUMIFS(Allocations!$E$5:$E$1700,Allocations!$B$5:$B$1700,27,Allocations!$F$5:$F$1700,"LP",Allocations!$D$5:$D$1700,"Distributions")</f>
        <v>0</v>
      </c>
      <c r="M57" s="45">
        <f>-SUMIFS(Allocations!$E$5:$E$1700,Allocations!$B$5:$B$1700,27,Allocations!$F$5:$F$1700,"LP",Allocations!$D$5:$D$1700,"Capital contributions")+SUMIFS(Allocations!$E$5:$E$1700,Allocations!$B$5:$B$1700,27,Allocations!$F$5:$F$1700,"LP",Allocations!$D$5:$D$1700,"Distributions")</f>
        <v>0</v>
      </c>
    </row>
    <row r="58" spans="1:13" x14ac:dyDescent="0.25">
      <c r="A58" t="s">
        <v>269</v>
      </c>
      <c r="I58" s="45">
        <f>-SUMIFS(Allocations!$E$5:$E$1700,Allocations!$B$5:$B$1700,28,Allocations!$F$5:$F$1700,"LP",Allocations!$D$5:$D$1700,"Capital contributions")+SUMIFS(Allocations!$E$5:$E$1700,Allocations!$B$5:$B$1700,28,Allocations!$F$5:$F$1700,"LP",Allocations!$D$5:$D$1700,"Distributions")</f>
        <v>0</v>
      </c>
      <c r="J58" s="45">
        <f>-SUMIFS(Allocations!$E$5:$E$1700,Allocations!$B$5:$B$1700,28,Allocations!$F$5:$F$1700,"LP",Allocations!$D$5:$D$1700,"Capital contributions")+SUMIFS(Allocations!$E$5:$E$1700,Allocations!$B$5:$B$1700,28,Allocations!$F$5:$F$1700,"LP",Allocations!$D$5:$D$1700,"Distributions")</f>
        <v>0</v>
      </c>
      <c r="K58" s="45">
        <f>-SUMIFS(Allocations!$E$5:$E$1700,Allocations!$B$5:$B$1700,28,Allocations!$F$5:$F$1700,"LP",Allocations!$D$5:$D$1700,"Capital contributions")+SUMIFS(Allocations!$E$5:$E$1700,Allocations!$B$5:$B$1700,28,Allocations!$F$5:$F$1700,"LP",Allocations!$D$5:$D$1700,"Distributions")</f>
        <v>0</v>
      </c>
      <c r="L58" s="45">
        <f>-SUMIFS(Allocations!$E$5:$E$1700,Allocations!$B$5:$B$1700,28,Allocations!$F$5:$F$1700,"LP",Allocations!$D$5:$D$1700,"Capital contributions")+SUMIFS(Allocations!$E$5:$E$1700,Allocations!$B$5:$B$1700,28,Allocations!$F$5:$F$1700,"LP",Allocations!$D$5:$D$1700,"Distributions")</f>
        <v>0</v>
      </c>
      <c r="M58" s="45">
        <f>-SUMIFS(Allocations!$E$5:$E$1700,Allocations!$B$5:$B$1700,28,Allocations!$F$5:$F$1700,"LP",Allocations!$D$5:$D$1700,"Capital contributions")+SUMIFS(Allocations!$E$5:$E$1700,Allocations!$B$5:$B$1700,28,Allocations!$F$5:$F$1700,"LP",Allocations!$D$5:$D$1700,"Distributions")</f>
        <v>0</v>
      </c>
    </row>
    <row r="59" spans="1:13" x14ac:dyDescent="0.25">
      <c r="A59" t="s">
        <v>270</v>
      </c>
      <c r="I59" s="45">
        <f>-SUMIFS(Allocations!$E$5:$E$1700,Allocations!$B$5:$B$1700,29,Allocations!$F$5:$F$1700,"LP",Allocations!$D$5:$D$1700,"Capital contributions")+SUMIFS(Allocations!$E$5:$E$1700,Allocations!$B$5:$B$1700,29,Allocations!$F$5:$F$1700,"LP",Allocations!$D$5:$D$1700,"Distributions")</f>
        <v>0</v>
      </c>
      <c r="J59" s="45">
        <f>-SUMIFS(Allocations!$E$5:$E$1700,Allocations!$B$5:$B$1700,29,Allocations!$F$5:$F$1700,"LP",Allocations!$D$5:$D$1700,"Capital contributions")+SUMIFS(Allocations!$E$5:$E$1700,Allocations!$B$5:$B$1700,29,Allocations!$F$5:$F$1700,"LP",Allocations!$D$5:$D$1700,"Distributions")</f>
        <v>0</v>
      </c>
      <c r="K59" s="45">
        <f>-SUMIFS(Allocations!$E$5:$E$1700,Allocations!$B$5:$B$1700,29,Allocations!$F$5:$F$1700,"LP",Allocations!$D$5:$D$1700,"Capital contributions")+SUMIFS(Allocations!$E$5:$E$1700,Allocations!$B$5:$B$1700,29,Allocations!$F$5:$F$1700,"LP",Allocations!$D$5:$D$1700,"Distributions")</f>
        <v>0</v>
      </c>
      <c r="L59" s="45">
        <f>-SUMIFS(Allocations!$E$5:$E$1700,Allocations!$B$5:$B$1700,29,Allocations!$F$5:$F$1700,"LP",Allocations!$D$5:$D$1700,"Capital contributions")+SUMIFS(Allocations!$E$5:$E$1700,Allocations!$B$5:$B$1700,29,Allocations!$F$5:$F$1700,"LP",Allocations!$D$5:$D$1700,"Distributions")</f>
        <v>0</v>
      </c>
      <c r="M59" s="45">
        <f>-SUMIFS(Allocations!$E$5:$E$1700,Allocations!$B$5:$B$1700,29,Allocations!$F$5:$F$1700,"LP",Allocations!$D$5:$D$1700,"Capital contributions")+SUMIFS(Allocations!$E$5:$E$1700,Allocations!$B$5:$B$1700,29,Allocations!$F$5:$F$1700,"LP",Allocations!$D$5:$D$1700,"Distributions")</f>
        <v>0</v>
      </c>
    </row>
    <row r="60" spans="1:13" x14ac:dyDescent="0.25">
      <c r="A60" t="s">
        <v>271</v>
      </c>
      <c r="I60" s="45">
        <f>-SUMIFS(Allocations!$E$5:$E$1700,Allocations!$B$5:$B$1700,30,Allocations!$F$5:$F$1700,"LP",Allocations!$D$5:$D$1700,"Capital contributions")+SUMIFS(Allocations!$E$5:$E$1700,Allocations!$B$5:$B$1700,30,Allocations!$F$5:$F$1700,"LP",Allocations!$D$5:$D$1700,"Distributions")</f>
        <v>-490000</v>
      </c>
      <c r="J60" s="45">
        <f>-SUMIFS(Allocations!$E$5:$E$1700,Allocations!$B$5:$B$1700,30,Allocations!$F$5:$F$1700,"LP",Allocations!$D$5:$D$1700,"Capital contributions")+SUMIFS(Allocations!$E$5:$E$1700,Allocations!$B$5:$B$1700,30,Allocations!$F$5:$F$1700,"LP",Allocations!$D$5:$D$1700,"Distributions")</f>
        <v>-490000</v>
      </c>
      <c r="K60" s="45">
        <f>-SUMIFS(Allocations!$E$5:$E$1700,Allocations!$B$5:$B$1700,30,Allocations!$F$5:$F$1700,"LP",Allocations!$D$5:$D$1700,"Capital contributions")+SUMIFS(Allocations!$E$5:$E$1700,Allocations!$B$5:$B$1700,30,Allocations!$F$5:$F$1700,"LP",Allocations!$D$5:$D$1700,"Distributions")</f>
        <v>-490000</v>
      </c>
      <c r="L60" s="45">
        <f>-SUMIFS(Allocations!$E$5:$E$1700,Allocations!$B$5:$B$1700,30,Allocations!$F$5:$F$1700,"LP",Allocations!$D$5:$D$1700,"Capital contributions")+SUMIFS(Allocations!$E$5:$E$1700,Allocations!$B$5:$B$1700,30,Allocations!$F$5:$F$1700,"LP",Allocations!$D$5:$D$1700,"Distributions")</f>
        <v>-490000</v>
      </c>
      <c r="M60" s="45">
        <f>-SUMIFS(Allocations!$E$5:$E$1700,Allocations!$B$5:$B$1700,30,Allocations!$F$5:$F$1700,"LP",Allocations!$D$5:$D$1700,"Capital contributions")+SUMIFS(Allocations!$E$5:$E$1700,Allocations!$B$5:$B$1700,30,Allocations!$F$5:$F$1700,"LP",Allocations!$D$5:$D$1700,"Distributions")</f>
        <v>-490000</v>
      </c>
    </row>
    <row r="61" spans="1:13" x14ac:dyDescent="0.25">
      <c r="A61" t="s">
        <v>272</v>
      </c>
      <c r="I61" s="45">
        <f>-SUMIFS(Allocations!$E$5:$E$1700,Allocations!$B$5:$B$1700,31,Allocations!$F$5:$F$1700,"LP",Allocations!$D$5:$D$1700,"Capital contributions")+SUMIFS(Allocations!$E$5:$E$1700,Allocations!$B$5:$B$1700,31,Allocations!$F$5:$F$1700,"LP",Allocations!$D$5:$D$1700,"Distributions")+I6</f>
        <v>165763628.37999982</v>
      </c>
      <c r="J61" s="45">
        <f>-SUMIFS(Allocations!$E$5:$E$1700,Allocations!$B$5:$B$1700,31,Allocations!$F$5:$F$1700,"LP",Allocations!$D$5:$D$1700,"Capital contributions")+SUMIFS(Allocations!$E$5:$E$1700,Allocations!$B$5:$B$1700,31,Allocations!$F$5:$F$1700,"LP",Allocations!$D$5:$D$1700,"Distributions")</f>
        <v>-686000</v>
      </c>
      <c r="K61" s="45">
        <f>-SUMIFS(Allocations!$E$5:$E$1700,Allocations!$B$5:$B$1700,31,Allocations!$F$5:$F$1700,"LP",Allocations!$D$5:$D$1700,"Capital contributions")+SUMIFS(Allocations!$E$5:$E$1700,Allocations!$B$5:$B$1700,31,Allocations!$F$5:$F$1700,"LP",Allocations!$D$5:$D$1700,"Distributions")</f>
        <v>-686000</v>
      </c>
      <c r="L61" s="45">
        <f>-SUMIFS(Allocations!$E$5:$E$1700,Allocations!$B$5:$B$1700,31,Allocations!$F$5:$F$1700,"LP",Allocations!$D$5:$D$1700,"Capital contributions")+SUMIFS(Allocations!$E$5:$E$1700,Allocations!$B$5:$B$1700,31,Allocations!$F$5:$F$1700,"LP",Allocations!$D$5:$D$1700,"Distributions")</f>
        <v>-686000</v>
      </c>
      <c r="M61" s="45">
        <f>-SUMIFS(Allocations!$E$5:$E$1700,Allocations!$B$5:$B$1700,31,Allocations!$F$5:$F$1700,"LP",Allocations!$D$5:$D$1700,"Capital contributions")+SUMIFS(Allocations!$E$5:$E$1700,Allocations!$B$5:$B$1700,31,Allocations!$F$5:$F$1700,"LP",Allocations!$D$5:$D$1700,"Distributions")</f>
        <v>-686000</v>
      </c>
    </row>
    <row r="62" spans="1:13" x14ac:dyDescent="0.25">
      <c r="A62" t="s">
        <v>273</v>
      </c>
      <c r="J62" s="45">
        <f>-SUMIFS(Allocations!$E$5:$E$1700,Allocations!$B$5:$B$1700,32,Allocations!$F$5:$F$1700,"LP",Allocations!$D$5:$D$1700,"Capital contributions")+SUMIFS(Allocations!$E$5:$E$1700,Allocations!$B$5:$B$1700,32,Allocations!$F$5:$F$1700,"LP",Allocations!$D$5:$D$1700,"Distributions")</f>
        <v>-686000</v>
      </c>
      <c r="K62" s="45">
        <f>-SUMIFS(Allocations!$E$5:$E$1700,Allocations!$B$5:$B$1700,32,Allocations!$F$5:$F$1700,"LP",Allocations!$D$5:$D$1700,"Capital contributions")+SUMIFS(Allocations!$E$5:$E$1700,Allocations!$B$5:$B$1700,32,Allocations!$F$5:$F$1700,"LP",Allocations!$D$5:$D$1700,"Distributions")</f>
        <v>-686000</v>
      </c>
      <c r="L62" s="45">
        <f>-SUMIFS(Allocations!$E$5:$E$1700,Allocations!$B$5:$B$1700,32,Allocations!$F$5:$F$1700,"LP",Allocations!$D$5:$D$1700,"Capital contributions")+SUMIFS(Allocations!$E$5:$E$1700,Allocations!$B$5:$B$1700,32,Allocations!$F$5:$F$1700,"LP",Allocations!$D$5:$D$1700,"Distributions")</f>
        <v>-686000</v>
      </c>
      <c r="M62" s="45">
        <f>-SUMIFS(Allocations!$E$5:$E$1700,Allocations!$B$5:$B$1700,32,Allocations!$F$5:$F$1700,"LP",Allocations!$D$5:$D$1700,"Capital contributions")+SUMIFS(Allocations!$E$5:$E$1700,Allocations!$B$5:$B$1700,32,Allocations!$F$5:$F$1700,"LP",Allocations!$D$5:$D$1700,"Distributions")</f>
        <v>-686000</v>
      </c>
    </row>
    <row r="63" spans="1:13" x14ac:dyDescent="0.25">
      <c r="A63" t="s">
        <v>274</v>
      </c>
      <c r="J63" s="45">
        <f>-SUMIFS(Allocations!$E$5:$E$1700,Allocations!$B$5:$B$1700,33,Allocations!$F$5:$F$1700,"LP",Allocations!$D$5:$D$1700,"Capital contributions")+SUMIFS(Allocations!$E$5:$E$1700,Allocations!$B$5:$B$1700,33,Allocations!$F$5:$F$1700,"LP",Allocations!$D$5:$D$1700,"Distributions")</f>
        <v>86884271.75999999</v>
      </c>
      <c r="K63" s="45">
        <f>-SUMIFS(Allocations!$E$5:$E$1700,Allocations!$B$5:$B$1700,33,Allocations!$F$5:$F$1700,"LP",Allocations!$D$5:$D$1700,"Capital contributions")+SUMIFS(Allocations!$E$5:$E$1700,Allocations!$B$5:$B$1700,33,Allocations!$F$5:$F$1700,"LP",Allocations!$D$5:$D$1700,"Distributions")</f>
        <v>86884271.75999999</v>
      </c>
      <c r="L63" s="45">
        <f>-SUMIFS(Allocations!$E$5:$E$1700,Allocations!$B$5:$B$1700,33,Allocations!$F$5:$F$1700,"LP",Allocations!$D$5:$D$1700,"Capital contributions")+SUMIFS(Allocations!$E$5:$E$1700,Allocations!$B$5:$B$1700,33,Allocations!$F$5:$F$1700,"LP",Allocations!$D$5:$D$1700,"Distributions")</f>
        <v>86884271.75999999</v>
      </c>
      <c r="M63" s="45">
        <f>-SUMIFS(Allocations!$E$5:$E$1700,Allocations!$B$5:$B$1700,33,Allocations!$F$5:$F$1700,"LP",Allocations!$D$5:$D$1700,"Capital contributions")+SUMIFS(Allocations!$E$5:$E$1700,Allocations!$B$5:$B$1700,33,Allocations!$F$5:$F$1700,"LP",Allocations!$D$5:$D$1700,"Distributions")</f>
        <v>86884271.75999999</v>
      </c>
    </row>
    <row r="64" spans="1:13" x14ac:dyDescent="0.25">
      <c r="A64" t="s">
        <v>275</v>
      </c>
      <c r="J64" s="45">
        <f>-SUMIFS(Allocations!$E$5:$E$1700,Allocations!$B$5:$B$1700,34,Allocations!$F$5:$F$1700,"LP",Allocations!$D$5:$D$1700,"Capital contributions")+SUMIFS(Allocations!$E$5:$E$1700,Allocations!$B$5:$B$1700,34,Allocations!$F$5:$F$1700,"LP",Allocations!$D$5:$D$1700,"Distributions")</f>
        <v>0</v>
      </c>
      <c r="K64" s="45">
        <f>-SUMIFS(Allocations!$E$5:$E$1700,Allocations!$B$5:$B$1700,34,Allocations!$F$5:$F$1700,"LP",Allocations!$D$5:$D$1700,"Capital contributions")+SUMIFS(Allocations!$E$5:$E$1700,Allocations!$B$5:$B$1700,34,Allocations!$F$5:$F$1700,"LP",Allocations!$D$5:$D$1700,"Distributions")</f>
        <v>0</v>
      </c>
      <c r="L64" s="45">
        <f>-SUMIFS(Allocations!$E$5:$E$1700,Allocations!$B$5:$B$1700,34,Allocations!$F$5:$F$1700,"LP",Allocations!$D$5:$D$1700,"Capital contributions")+SUMIFS(Allocations!$E$5:$E$1700,Allocations!$B$5:$B$1700,34,Allocations!$F$5:$F$1700,"LP",Allocations!$D$5:$D$1700,"Distributions")</f>
        <v>0</v>
      </c>
      <c r="M64" s="45">
        <f>-SUMIFS(Allocations!$E$5:$E$1700,Allocations!$B$5:$B$1700,34,Allocations!$F$5:$F$1700,"LP",Allocations!$D$5:$D$1700,"Capital contributions")+SUMIFS(Allocations!$E$5:$E$1700,Allocations!$B$5:$B$1700,34,Allocations!$F$5:$F$1700,"LP",Allocations!$D$5:$D$1700,"Distributions")</f>
        <v>0</v>
      </c>
    </row>
    <row r="65" spans="1:13" x14ac:dyDescent="0.25">
      <c r="A65" t="s">
        <v>276</v>
      </c>
      <c r="J65" s="45">
        <f>-SUMIFS(Allocations!$E$5:$E$1700,Allocations!$B$5:$B$1700,35,Allocations!$F$5:$F$1700,"LP",Allocations!$D$5:$D$1700,"Capital contributions")+SUMIFS(Allocations!$E$5:$E$1700,Allocations!$B$5:$B$1700,35,Allocations!$F$5:$F$1700,"LP",Allocations!$D$5:$D$1700,"Distributions")+J6</f>
        <v>114684493.32999998</v>
      </c>
      <c r="K65" s="45">
        <f>-SUMIFS(Allocations!$E$5:$E$1700,Allocations!$B$5:$B$1700,35,Allocations!$F$5:$F$1700,"LP",Allocations!$D$5:$D$1700,"Capital contributions")+SUMIFS(Allocations!$E$5:$E$1700,Allocations!$B$5:$B$1700,35,Allocations!$F$5:$F$1700,"LP",Allocations!$D$5:$D$1700,"Distributions")</f>
        <v>0</v>
      </c>
      <c r="L65" s="45">
        <f>-SUMIFS(Allocations!$E$5:$E$1700,Allocations!$B$5:$B$1700,35,Allocations!$F$5:$F$1700,"LP",Allocations!$D$5:$D$1700,"Capital contributions")+SUMIFS(Allocations!$E$5:$E$1700,Allocations!$B$5:$B$1700,35,Allocations!$F$5:$F$1700,"LP",Allocations!$D$5:$D$1700,"Distributions")</f>
        <v>0</v>
      </c>
      <c r="M65" s="45">
        <f>-SUMIFS(Allocations!$E$5:$E$1700,Allocations!$B$5:$B$1700,35,Allocations!$F$5:$F$1700,"LP",Allocations!$D$5:$D$1700,"Capital contributions")+SUMIFS(Allocations!$E$5:$E$1700,Allocations!$B$5:$B$1700,35,Allocations!$F$5:$F$1700,"LP",Allocations!$D$5:$D$1700,"Distributions")</f>
        <v>0</v>
      </c>
    </row>
    <row r="66" spans="1:13" x14ac:dyDescent="0.25">
      <c r="A66" t="s">
        <v>277</v>
      </c>
      <c r="K66" s="45">
        <f>-SUMIFS(Allocations!$E$5:$E$1700,Allocations!$B$5:$B$1700,36,Allocations!$F$5:$F$1700,"LP",Allocations!$D$5:$D$1700,"Capital contributions")+SUMIFS(Allocations!$E$5:$E$1700,Allocations!$B$5:$B$1700,36,Allocations!$F$5:$F$1700,"LP",Allocations!$D$5:$D$1700,"Distributions")</f>
        <v>0</v>
      </c>
      <c r="L66" s="45">
        <f>-SUMIFS(Allocations!$E$5:$E$1700,Allocations!$B$5:$B$1700,36,Allocations!$F$5:$F$1700,"LP",Allocations!$D$5:$D$1700,"Capital contributions")+SUMIFS(Allocations!$E$5:$E$1700,Allocations!$B$5:$B$1700,36,Allocations!$F$5:$F$1700,"LP",Allocations!$D$5:$D$1700,"Distributions")</f>
        <v>0</v>
      </c>
      <c r="M66" s="45">
        <f>-SUMIFS(Allocations!$E$5:$E$1700,Allocations!$B$5:$B$1700,36,Allocations!$F$5:$F$1700,"LP",Allocations!$D$5:$D$1700,"Capital contributions")+SUMIFS(Allocations!$E$5:$E$1700,Allocations!$B$5:$B$1700,36,Allocations!$F$5:$F$1700,"LP",Allocations!$D$5:$D$1700,"Distributions")</f>
        <v>0</v>
      </c>
    </row>
    <row r="67" spans="1:13" x14ac:dyDescent="0.25">
      <c r="A67" t="s">
        <v>278</v>
      </c>
      <c r="K67" s="45">
        <f>-SUMIFS(Allocations!$E$5:$E$1700,Allocations!$B$5:$B$1700,37,Allocations!$F$5:$F$1700,"LP",Allocations!$D$5:$D$1700,"Capital contributions")+SUMIFS(Allocations!$E$5:$E$1700,Allocations!$B$5:$B$1700,37,Allocations!$F$5:$F$1700,"LP",Allocations!$D$5:$D$1700,"Distributions")</f>
        <v>43246810.540000007</v>
      </c>
      <c r="L67" s="45">
        <f>-SUMIFS(Allocations!$E$5:$E$1700,Allocations!$B$5:$B$1700,37,Allocations!$F$5:$F$1700,"LP",Allocations!$D$5:$D$1700,"Capital contributions")+SUMIFS(Allocations!$E$5:$E$1700,Allocations!$B$5:$B$1700,37,Allocations!$F$5:$F$1700,"LP",Allocations!$D$5:$D$1700,"Distributions")</f>
        <v>43246810.540000007</v>
      </c>
      <c r="M67" s="45">
        <f>-SUMIFS(Allocations!$E$5:$E$1700,Allocations!$B$5:$B$1700,37,Allocations!$F$5:$F$1700,"LP",Allocations!$D$5:$D$1700,"Capital contributions")+SUMIFS(Allocations!$E$5:$E$1700,Allocations!$B$5:$B$1700,37,Allocations!$F$5:$F$1700,"LP",Allocations!$D$5:$D$1700,"Distributions")</f>
        <v>43246810.540000007</v>
      </c>
    </row>
    <row r="68" spans="1:13" x14ac:dyDescent="0.25">
      <c r="A68" t="s">
        <v>279</v>
      </c>
      <c r="K68" s="45">
        <f>-SUMIFS(Allocations!$E$5:$E$1700,Allocations!$B$5:$B$1700,38,Allocations!$F$5:$F$1700,"LP",Allocations!$D$5:$D$1700,"Capital contributions")+SUMIFS(Allocations!$E$5:$E$1700,Allocations!$B$5:$B$1700,38,Allocations!$F$5:$F$1700,"LP",Allocations!$D$5:$D$1700,"Distributions")</f>
        <v>0</v>
      </c>
      <c r="L68" s="45">
        <f>-SUMIFS(Allocations!$E$5:$E$1700,Allocations!$B$5:$B$1700,38,Allocations!$F$5:$F$1700,"LP",Allocations!$D$5:$D$1700,"Capital contributions")+SUMIFS(Allocations!$E$5:$E$1700,Allocations!$B$5:$B$1700,38,Allocations!$F$5:$F$1700,"LP",Allocations!$D$5:$D$1700,"Distributions")</f>
        <v>0</v>
      </c>
      <c r="M68" s="45">
        <f>-SUMIFS(Allocations!$E$5:$E$1700,Allocations!$B$5:$B$1700,38,Allocations!$F$5:$F$1700,"LP",Allocations!$D$5:$D$1700,"Capital contributions")+SUMIFS(Allocations!$E$5:$E$1700,Allocations!$B$5:$B$1700,38,Allocations!$F$5:$F$1700,"LP",Allocations!$D$5:$D$1700,"Distributions")</f>
        <v>0</v>
      </c>
    </row>
    <row r="69" spans="1:13" x14ac:dyDescent="0.25">
      <c r="A69" t="s">
        <v>280</v>
      </c>
      <c r="K69" s="45">
        <f>-SUMIFS(Allocations!$E$5:$E$1700,Allocations!$B$5:$B$1700,39,Allocations!$F$5:$F$1700,"LP",Allocations!$D$5:$D$1700,"Capital contributions")+SUMIFS(Allocations!$E$5:$E$1700,Allocations!$B$5:$B$1700,39,Allocations!$F$5:$F$1700,"LP",Allocations!$D$5:$D$1700,"Distributions")+K6</f>
        <v>84084636.390000492</v>
      </c>
      <c r="L69" s="45">
        <f>-SUMIFS(Allocations!$E$5:$E$1700,Allocations!$B$5:$B$1700,39,Allocations!$F$5:$F$1700,"LP",Allocations!$D$5:$D$1700,"Capital contributions")+SUMIFS(Allocations!$E$5:$E$1700,Allocations!$B$5:$B$1700,39,Allocations!$F$5:$F$1700,"LP",Allocations!$D$5:$D$1700,"Distributions")</f>
        <v>45639097.149999999</v>
      </c>
      <c r="M69" s="45">
        <f>-SUMIFS(Allocations!$E$5:$E$1700,Allocations!$B$5:$B$1700,39,Allocations!$F$5:$F$1700,"LP",Allocations!$D$5:$D$1700,"Capital contributions")+SUMIFS(Allocations!$E$5:$E$1700,Allocations!$B$5:$B$1700,39,Allocations!$F$5:$F$1700,"LP",Allocations!$D$5:$D$1700,"Distributions")</f>
        <v>45639097.149999999</v>
      </c>
    </row>
    <row r="70" spans="1:13" x14ac:dyDescent="0.25">
      <c r="A70" t="s">
        <v>281</v>
      </c>
      <c r="L70" s="45">
        <f>-SUMIFS(Allocations!$E$5:$E$1700,Allocations!$B$5:$B$1700,40,Allocations!$F$5:$F$1700,"LP",Allocations!$D$5:$D$1700,"Capital contributions")+SUMIFS(Allocations!$E$5:$E$1700,Allocations!$B$5:$B$1700,40,Allocations!$F$5:$F$1700,"LP",Allocations!$D$5:$D$1700,"Distributions")</f>
        <v>0</v>
      </c>
      <c r="M70" s="45">
        <f>-SUMIFS(Allocations!$E$5:$E$1700,Allocations!$B$5:$B$1700,40,Allocations!$F$5:$F$1700,"LP",Allocations!$D$5:$D$1700,"Capital contributions")+SUMIFS(Allocations!$E$5:$E$1700,Allocations!$B$5:$B$1700,40,Allocations!$F$5:$F$1700,"LP",Allocations!$D$5:$D$1700,"Distributions")</f>
        <v>0</v>
      </c>
    </row>
    <row r="71" spans="1:13" x14ac:dyDescent="0.25">
      <c r="A71" t="s">
        <v>282</v>
      </c>
      <c r="L71" s="45">
        <f>-SUMIFS(Allocations!$E$5:$E$1700,Allocations!$B$5:$B$1700,41,Allocations!$F$5:$F$1700,"LP",Allocations!$D$5:$D$1700,"Capital contributions")+SUMIFS(Allocations!$E$5:$E$1700,Allocations!$B$5:$B$1700,41,Allocations!$F$5:$F$1700,"LP",Allocations!$D$5:$D$1700,"Distributions")</f>
        <v>48353393.75</v>
      </c>
      <c r="M71" s="45">
        <f>-SUMIFS(Allocations!$E$5:$E$1700,Allocations!$B$5:$B$1700,41,Allocations!$F$5:$F$1700,"LP",Allocations!$D$5:$D$1700,"Capital contributions")+SUMIFS(Allocations!$E$5:$E$1700,Allocations!$B$5:$B$1700,41,Allocations!$F$5:$F$1700,"LP",Allocations!$D$5:$D$1700,"Distributions")</f>
        <v>48353393.75</v>
      </c>
    </row>
    <row r="72" spans="1:13" x14ac:dyDescent="0.25">
      <c r="A72" t="s">
        <v>283</v>
      </c>
      <c r="L72" s="45">
        <f>-SUMIFS(Allocations!$E$5:$E$1700,Allocations!$B$5:$B$1700,42,Allocations!$F$5:$F$1700,"LP",Allocations!$D$5:$D$1700,"Capital contributions")+SUMIFS(Allocations!$E$5:$E$1700,Allocations!$B$5:$B$1700,42,Allocations!$F$5:$F$1700,"LP",Allocations!$D$5:$D$1700,"Distributions")</f>
        <v>0</v>
      </c>
      <c r="M72" s="45">
        <f>-SUMIFS(Allocations!$E$5:$E$1700,Allocations!$B$5:$B$1700,42,Allocations!$F$5:$F$1700,"LP",Allocations!$D$5:$D$1700,"Capital contributions")+SUMIFS(Allocations!$E$5:$E$1700,Allocations!$B$5:$B$1700,42,Allocations!$F$5:$F$1700,"LP",Allocations!$D$5:$D$1700,"Distributions")</f>
        <v>0</v>
      </c>
    </row>
    <row r="73" spans="1:13" x14ac:dyDescent="0.25">
      <c r="A73" t="s">
        <v>284</v>
      </c>
      <c r="L73" s="45">
        <f>-SUMIFS(Allocations!$E$5:$E$1700,Allocations!$B$5:$B$1700,43,Allocations!$F$5:$F$1700,"LP",Allocations!$D$5:$D$1700,"Capital contributions")+SUMIFS(Allocations!$E$5:$E$1700,Allocations!$B$5:$B$1700,43,Allocations!$F$5:$F$1700,"LP",Allocations!$D$5:$D$1700,"Distributions")+L6</f>
        <v>2144258.3400005102</v>
      </c>
      <c r="M73" s="45">
        <f>-SUMIFS(Allocations!$E$5:$E$1700,Allocations!$B$5:$B$1700,43,Allocations!$F$5:$F$1700,"LP",Allocations!$D$5:$D$1700,"Capital contributions")+SUMIFS(Allocations!$E$5:$E$1700,Allocations!$B$5:$B$1700,43,Allocations!$F$5:$F$1700,"LP",Allocations!$D$5:$D$1700,"Distributions")</f>
        <v>0</v>
      </c>
    </row>
    <row r="74" spans="1:13" x14ac:dyDescent="0.25">
      <c r="A74" t="s">
        <v>285</v>
      </c>
      <c r="M74" s="45">
        <f>-SUMIFS(Allocations!$E$5:$E$1700,Allocations!$B$5:$B$1700,44,Allocations!$F$5:$F$1700,"LP",Allocations!$D$5:$D$1700,"Capital contributions")+SUMIFS(Allocations!$E$5:$E$1700,Allocations!$B$5:$B$1700,44,Allocations!$F$5:$F$1700,"LP",Allocations!$D$5:$D$1700,"Distributions")</f>
        <v>0</v>
      </c>
    </row>
    <row r="75" spans="1:13" x14ac:dyDescent="0.25">
      <c r="A75" t="s">
        <v>286</v>
      </c>
      <c r="M75" s="45">
        <f>-SUMIFS(Allocations!$E$5:$E$1700,Allocations!$B$5:$B$1700,45,Allocations!$F$5:$F$1700,"LP",Allocations!$D$5:$D$1700,"Capital contributions")+SUMIFS(Allocations!$E$5:$E$1700,Allocations!$B$5:$B$1700,45,Allocations!$F$5:$F$1700,"LP",Allocations!$D$5:$D$1700,"Distributions")+M6</f>
        <v>1935037.0300008343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9"/>
  <sheetViews>
    <sheetView workbookViewId="0"/>
  </sheetViews>
  <sheetFormatPr defaultRowHeight="15" x14ac:dyDescent="0.25"/>
  <cols>
    <col min="1" max="1" width="38" customWidth="1"/>
    <col min="2" max="2" width="36" customWidth="1"/>
    <col min="3" max="3" width="40" customWidth="1"/>
    <col min="4" max="4" width="24" customWidth="1"/>
    <col min="5" max="7" width="15" customWidth="1"/>
    <col min="8" max="8" width="13" customWidth="1"/>
  </cols>
  <sheetData>
    <row r="1" spans="1:8" ht="18" customHeight="1" x14ac:dyDescent="0.25">
      <c r="A1" s="9" t="s">
        <v>387</v>
      </c>
    </row>
    <row r="2" spans="1:8" x14ac:dyDescent="0.25">
      <c r="A2" s="10" t="s">
        <v>388</v>
      </c>
    </row>
    <row r="4" spans="1:8" ht="30" customHeight="1" x14ac:dyDescent="0.25">
      <c r="A4" s="5" t="s">
        <v>389</v>
      </c>
      <c r="B4" s="5" t="s">
        <v>390</v>
      </c>
      <c r="C4" s="5" t="s">
        <v>391</v>
      </c>
      <c r="D4" s="5" t="s">
        <v>392</v>
      </c>
      <c r="E4" s="5" t="s">
        <v>393</v>
      </c>
      <c r="F4" s="5" t="s">
        <v>394</v>
      </c>
      <c r="G4" s="5" t="s">
        <v>395</v>
      </c>
      <c r="H4" s="5" t="s">
        <v>396</v>
      </c>
    </row>
    <row r="5" spans="1:8" x14ac:dyDescent="0.25">
      <c r="A5" s="8" t="s">
        <v>397</v>
      </c>
      <c r="B5" s="8" t="s">
        <v>398</v>
      </c>
      <c r="C5" s="8" t="s">
        <v>399</v>
      </c>
      <c r="D5" s="8" t="s">
        <v>400</v>
      </c>
      <c r="E5" s="12">
        <v>18000000</v>
      </c>
      <c r="F5" s="12">
        <v>46000000</v>
      </c>
      <c r="G5" s="23">
        <f>F5-E5</f>
        <v>28000000</v>
      </c>
      <c r="H5" s="28">
        <f>F5/'Balance Sheet'!$I$21</f>
        <v>0.23607529779916919</v>
      </c>
    </row>
    <row r="6" spans="1:8" x14ac:dyDescent="0.25">
      <c r="A6" s="8" t="s">
        <v>401</v>
      </c>
      <c r="B6" s="8" t="s">
        <v>402</v>
      </c>
      <c r="C6" s="8" t="s">
        <v>403</v>
      </c>
      <c r="D6" s="8" t="s">
        <v>404</v>
      </c>
      <c r="E6" s="12">
        <v>35000000</v>
      </c>
      <c r="F6" s="12">
        <v>64000000</v>
      </c>
      <c r="G6" s="23">
        <f>F6-E6</f>
        <v>29000000</v>
      </c>
      <c r="H6" s="28">
        <f>F6/'Balance Sheet'!$I$21</f>
        <v>0.32845258824232237</v>
      </c>
    </row>
    <row r="7" spans="1:8" x14ac:dyDescent="0.25">
      <c r="A7" s="8" t="s">
        <v>405</v>
      </c>
      <c r="B7" s="8" t="s">
        <v>406</v>
      </c>
      <c r="C7" s="8" t="s">
        <v>407</v>
      </c>
      <c r="D7" s="8" t="s">
        <v>408</v>
      </c>
      <c r="E7" s="12">
        <v>28000000</v>
      </c>
      <c r="F7" s="12">
        <v>33000000</v>
      </c>
      <c r="G7" s="23">
        <f>F7-E7</f>
        <v>5000000</v>
      </c>
      <c r="H7" s="28">
        <f>F7/'Balance Sheet'!$I$21</f>
        <v>0.16935836581244745</v>
      </c>
    </row>
    <row r="8" spans="1:8" x14ac:dyDescent="0.25">
      <c r="A8" s="8" t="s">
        <v>409</v>
      </c>
      <c r="B8" s="8" t="s">
        <v>410</v>
      </c>
      <c r="C8" s="8" t="s">
        <v>411</v>
      </c>
      <c r="D8" s="8" t="s">
        <v>412</v>
      </c>
      <c r="E8" s="12">
        <v>35549084.710000001</v>
      </c>
      <c r="F8" s="12">
        <v>51549084.710000001</v>
      </c>
      <c r="G8" s="23">
        <f>F8-E8</f>
        <v>16000000</v>
      </c>
      <c r="H8" s="28">
        <f>F8/'Balance Sheet'!$I$21</f>
        <v>0.26455359835190978</v>
      </c>
    </row>
    <row r="9" spans="1:8" x14ac:dyDescent="0.25">
      <c r="A9" s="7" t="s">
        <v>413</v>
      </c>
      <c r="E9" s="16">
        <f>SUM(E5:E8)</f>
        <v>116549084.71000001</v>
      </c>
      <c r="F9" s="16">
        <f>SUM(F5:F8)</f>
        <v>194549084.71000001</v>
      </c>
      <c r="G9" s="16">
        <f>SUM(G5:G8)</f>
        <v>78000000</v>
      </c>
      <c r="H9" s="17">
        <f>SUM(H5:H8)</f>
        <v>0.99843985020584869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18"/>
  <sheetViews>
    <sheetView workbookViewId="0"/>
  </sheetViews>
  <sheetFormatPr defaultRowHeight="15" x14ac:dyDescent="0.25"/>
  <cols>
    <col min="1" max="1" width="11" customWidth="1"/>
    <col min="2" max="2" width="7" customWidth="1"/>
    <col min="3" max="3" width="42" customWidth="1"/>
    <col min="4" max="4" width="30" customWidth="1"/>
    <col min="5" max="5" width="17" customWidth="1"/>
  </cols>
  <sheetData>
    <row r="1" spans="1:6" ht="18" customHeight="1" x14ac:dyDescent="0.25">
      <c r="A1" s="9" t="s">
        <v>414</v>
      </c>
    </row>
    <row r="2" spans="1:6" x14ac:dyDescent="0.25">
      <c r="A2" s="10" t="s">
        <v>415</v>
      </c>
    </row>
    <row r="4" spans="1:6" x14ac:dyDescent="0.25">
      <c r="A4" s="5" t="s">
        <v>225</v>
      </c>
      <c r="B4" s="5" t="s">
        <v>229</v>
      </c>
      <c r="C4" s="5" t="s">
        <v>126</v>
      </c>
      <c r="D4" s="5" t="s">
        <v>416</v>
      </c>
      <c r="E4" s="5" t="s">
        <v>417</v>
      </c>
      <c r="F4" s="5" t="s">
        <v>418</v>
      </c>
    </row>
    <row r="5" spans="1:6" x14ac:dyDescent="0.25">
      <c r="A5" s="11" t="s">
        <v>230</v>
      </c>
      <c r="B5" s="11">
        <v>0</v>
      </c>
      <c r="C5" s="11" t="s">
        <v>72</v>
      </c>
      <c r="D5" s="11" t="s">
        <v>334</v>
      </c>
      <c r="E5" s="19">
        <v>129166.67</v>
      </c>
      <c r="F5" t="s">
        <v>131</v>
      </c>
    </row>
    <row r="6" spans="1:6" x14ac:dyDescent="0.25">
      <c r="A6" s="11" t="s">
        <v>230</v>
      </c>
      <c r="B6" s="11">
        <v>0</v>
      </c>
      <c r="C6" s="11" t="s">
        <v>72</v>
      </c>
      <c r="D6" s="11" t="s">
        <v>419</v>
      </c>
      <c r="E6" s="19">
        <v>-37500</v>
      </c>
      <c r="F6" t="s">
        <v>131</v>
      </c>
    </row>
    <row r="7" spans="1:6" x14ac:dyDescent="0.25">
      <c r="A7" s="11" t="s">
        <v>230</v>
      </c>
      <c r="B7" s="11">
        <v>0</v>
      </c>
      <c r="C7" s="11" t="s">
        <v>72</v>
      </c>
      <c r="D7" s="11" t="s">
        <v>216</v>
      </c>
      <c r="E7" s="19">
        <v>-55291.67</v>
      </c>
      <c r="F7" t="s">
        <v>131</v>
      </c>
    </row>
    <row r="8" spans="1:6" x14ac:dyDescent="0.25">
      <c r="A8" s="11" t="s">
        <v>230</v>
      </c>
      <c r="B8" s="11">
        <v>0</v>
      </c>
      <c r="C8" s="11" t="s">
        <v>132</v>
      </c>
      <c r="D8" s="11" t="s">
        <v>334</v>
      </c>
      <c r="E8" s="19">
        <v>1937500</v>
      </c>
      <c r="F8" t="s">
        <v>133</v>
      </c>
    </row>
    <row r="9" spans="1:6" x14ac:dyDescent="0.25">
      <c r="A9" s="11" t="s">
        <v>230</v>
      </c>
      <c r="B9" s="11">
        <v>0</v>
      </c>
      <c r="C9" s="11" t="s">
        <v>132</v>
      </c>
      <c r="D9" s="11" t="s">
        <v>419</v>
      </c>
      <c r="E9" s="19">
        <v>-562500</v>
      </c>
      <c r="F9" t="s">
        <v>133</v>
      </c>
    </row>
    <row r="10" spans="1:6" x14ac:dyDescent="0.25">
      <c r="A10" s="11" t="s">
        <v>230</v>
      </c>
      <c r="B10" s="11">
        <v>0</v>
      </c>
      <c r="C10" s="11" t="s">
        <v>132</v>
      </c>
      <c r="D10" s="11" t="s">
        <v>197</v>
      </c>
      <c r="E10" s="19">
        <v>-375000</v>
      </c>
      <c r="F10" t="s">
        <v>133</v>
      </c>
    </row>
    <row r="11" spans="1:6" x14ac:dyDescent="0.25">
      <c r="A11" s="11" t="s">
        <v>230</v>
      </c>
      <c r="B11" s="11">
        <v>0</v>
      </c>
      <c r="C11" s="11" t="s">
        <v>132</v>
      </c>
      <c r="D11" s="11" t="s">
        <v>216</v>
      </c>
      <c r="E11" s="19">
        <v>-829375</v>
      </c>
      <c r="F11" t="s">
        <v>133</v>
      </c>
    </row>
    <row r="12" spans="1:6" x14ac:dyDescent="0.25">
      <c r="A12" s="11" t="s">
        <v>230</v>
      </c>
      <c r="B12" s="11">
        <v>0</v>
      </c>
      <c r="C12" s="11" t="s">
        <v>134</v>
      </c>
      <c r="D12" s="11" t="s">
        <v>334</v>
      </c>
      <c r="E12" s="19">
        <v>1033333.33</v>
      </c>
      <c r="F12" t="s">
        <v>133</v>
      </c>
    </row>
    <row r="13" spans="1:6" x14ac:dyDescent="0.25">
      <c r="A13" s="11" t="s">
        <v>230</v>
      </c>
      <c r="B13" s="11">
        <v>0</v>
      </c>
      <c r="C13" s="11" t="s">
        <v>134</v>
      </c>
      <c r="D13" s="11" t="s">
        <v>419</v>
      </c>
      <c r="E13" s="19">
        <v>-300000</v>
      </c>
      <c r="F13" t="s">
        <v>133</v>
      </c>
    </row>
    <row r="14" spans="1:6" x14ac:dyDescent="0.25">
      <c r="A14" s="11" t="s">
        <v>230</v>
      </c>
      <c r="B14" s="11">
        <v>0</v>
      </c>
      <c r="C14" s="11" t="s">
        <v>134</v>
      </c>
      <c r="D14" s="11" t="s">
        <v>197</v>
      </c>
      <c r="E14" s="19">
        <v>-200000</v>
      </c>
      <c r="F14" t="s">
        <v>133</v>
      </c>
    </row>
    <row r="15" spans="1:6" x14ac:dyDescent="0.25">
      <c r="A15" s="11" t="s">
        <v>230</v>
      </c>
      <c r="B15" s="11">
        <v>0</v>
      </c>
      <c r="C15" s="11" t="s">
        <v>134</v>
      </c>
      <c r="D15" s="11" t="s">
        <v>216</v>
      </c>
      <c r="E15" s="19">
        <v>-442333.33</v>
      </c>
      <c r="F15" t="s">
        <v>133</v>
      </c>
    </row>
    <row r="16" spans="1:6" x14ac:dyDescent="0.25">
      <c r="A16" s="11" t="s">
        <v>235</v>
      </c>
      <c r="B16" s="11">
        <v>1</v>
      </c>
      <c r="C16" s="11" t="s">
        <v>72</v>
      </c>
      <c r="D16" s="11" t="s">
        <v>334</v>
      </c>
      <c r="E16" s="19">
        <v>1779166.67</v>
      </c>
      <c r="F16" t="s">
        <v>131</v>
      </c>
    </row>
    <row r="17" spans="1:6" x14ac:dyDescent="0.25">
      <c r="A17" s="11" t="s">
        <v>235</v>
      </c>
      <c r="B17" s="11">
        <v>1</v>
      </c>
      <c r="C17" s="11" t="s">
        <v>72</v>
      </c>
      <c r="D17" s="11" t="s">
        <v>216</v>
      </c>
      <c r="E17" s="19">
        <v>-5291.67</v>
      </c>
      <c r="F17" t="s">
        <v>131</v>
      </c>
    </row>
    <row r="18" spans="1:6" x14ac:dyDescent="0.25">
      <c r="A18" s="11" t="s">
        <v>235</v>
      </c>
      <c r="B18" s="11">
        <v>1</v>
      </c>
      <c r="C18" s="11" t="s">
        <v>132</v>
      </c>
      <c r="D18" s="11" t="s">
        <v>334</v>
      </c>
      <c r="E18" s="19">
        <v>26687500</v>
      </c>
      <c r="F18" t="s">
        <v>133</v>
      </c>
    </row>
    <row r="19" spans="1:6" x14ac:dyDescent="0.25">
      <c r="A19" s="11" t="s">
        <v>235</v>
      </c>
      <c r="B19" s="11">
        <v>1</v>
      </c>
      <c r="C19" s="11" t="s">
        <v>132</v>
      </c>
      <c r="D19" s="11" t="s">
        <v>197</v>
      </c>
      <c r="E19" s="19">
        <v>-375000</v>
      </c>
      <c r="F19" t="s">
        <v>133</v>
      </c>
    </row>
    <row r="20" spans="1:6" x14ac:dyDescent="0.25">
      <c r="A20" s="11" t="s">
        <v>235</v>
      </c>
      <c r="B20" s="11">
        <v>1</v>
      </c>
      <c r="C20" s="11" t="s">
        <v>132</v>
      </c>
      <c r="D20" s="11" t="s">
        <v>216</v>
      </c>
      <c r="E20" s="19">
        <v>-79375</v>
      </c>
      <c r="F20" t="s">
        <v>133</v>
      </c>
    </row>
    <row r="21" spans="1:6" x14ac:dyDescent="0.25">
      <c r="A21" s="11" t="s">
        <v>235</v>
      </c>
      <c r="B21" s="11">
        <v>1</v>
      </c>
      <c r="C21" s="11" t="s">
        <v>134</v>
      </c>
      <c r="D21" s="11" t="s">
        <v>334</v>
      </c>
      <c r="E21" s="19">
        <v>14233333.33</v>
      </c>
      <c r="F21" t="s">
        <v>133</v>
      </c>
    </row>
    <row r="22" spans="1:6" x14ac:dyDescent="0.25">
      <c r="A22" s="11" t="s">
        <v>235</v>
      </c>
      <c r="B22" s="11">
        <v>1</v>
      </c>
      <c r="C22" s="11" t="s">
        <v>134</v>
      </c>
      <c r="D22" s="11" t="s">
        <v>197</v>
      </c>
      <c r="E22" s="19">
        <v>-200000</v>
      </c>
      <c r="F22" t="s">
        <v>133</v>
      </c>
    </row>
    <row r="23" spans="1:6" x14ac:dyDescent="0.25">
      <c r="A23" s="11" t="s">
        <v>235</v>
      </c>
      <c r="B23" s="11">
        <v>1</v>
      </c>
      <c r="C23" s="11" t="s">
        <v>134</v>
      </c>
      <c r="D23" s="11" t="s">
        <v>216</v>
      </c>
      <c r="E23" s="19">
        <v>-42333.33</v>
      </c>
      <c r="F23" t="s">
        <v>133</v>
      </c>
    </row>
    <row r="24" spans="1:6" x14ac:dyDescent="0.25">
      <c r="A24" s="11" t="s">
        <v>237</v>
      </c>
      <c r="B24" s="11">
        <v>2</v>
      </c>
      <c r="C24" s="11" t="s">
        <v>72</v>
      </c>
      <c r="D24" s="11" t="s">
        <v>334</v>
      </c>
      <c r="E24" s="19">
        <v>29166.67</v>
      </c>
      <c r="F24" t="s">
        <v>131</v>
      </c>
    </row>
    <row r="25" spans="1:6" x14ac:dyDescent="0.25">
      <c r="A25" s="11" t="s">
        <v>237</v>
      </c>
      <c r="B25" s="11">
        <v>2</v>
      </c>
      <c r="C25" s="11" t="s">
        <v>72</v>
      </c>
      <c r="D25" s="11" t="s">
        <v>216</v>
      </c>
      <c r="E25" s="19">
        <v>-5291.67</v>
      </c>
      <c r="F25" t="s">
        <v>131</v>
      </c>
    </row>
    <row r="26" spans="1:6" x14ac:dyDescent="0.25">
      <c r="A26" s="11" t="s">
        <v>237</v>
      </c>
      <c r="B26" s="11">
        <v>2</v>
      </c>
      <c r="C26" s="11" t="s">
        <v>132</v>
      </c>
      <c r="D26" s="11" t="s">
        <v>334</v>
      </c>
      <c r="E26" s="19">
        <v>437500</v>
      </c>
      <c r="F26" t="s">
        <v>133</v>
      </c>
    </row>
    <row r="27" spans="1:6" x14ac:dyDescent="0.25">
      <c r="A27" s="11" t="s">
        <v>237</v>
      </c>
      <c r="B27" s="11">
        <v>2</v>
      </c>
      <c r="C27" s="11" t="s">
        <v>132</v>
      </c>
      <c r="D27" s="11" t="s">
        <v>197</v>
      </c>
      <c r="E27" s="19">
        <v>-375000</v>
      </c>
      <c r="F27" t="s">
        <v>133</v>
      </c>
    </row>
    <row r="28" spans="1:6" x14ac:dyDescent="0.25">
      <c r="A28" s="11" t="s">
        <v>237</v>
      </c>
      <c r="B28" s="11">
        <v>2</v>
      </c>
      <c r="C28" s="11" t="s">
        <v>132</v>
      </c>
      <c r="D28" s="11" t="s">
        <v>216</v>
      </c>
      <c r="E28" s="19">
        <v>-79375</v>
      </c>
      <c r="F28" t="s">
        <v>133</v>
      </c>
    </row>
    <row r="29" spans="1:6" x14ac:dyDescent="0.25">
      <c r="A29" s="11" t="s">
        <v>237</v>
      </c>
      <c r="B29" s="11">
        <v>2</v>
      </c>
      <c r="C29" s="11" t="s">
        <v>134</v>
      </c>
      <c r="D29" s="11" t="s">
        <v>334</v>
      </c>
      <c r="E29" s="19">
        <v>233333.33</v>
      </c>
      <c r="F29" t="s">
        <v>133</v>
      </c>
    </row>
    <row r="30" spans="1:6" x14ac:dyDescent="0.25">
      <c r="A30" s="11" t="s">
        <v>237</v>
      </c>
      <c r="B30" s="11">
        <v>2</v>
      </c>
      <c r="C30" s="11" t="s">
        <v>134</v>
      </c>
      <c r="D30" s="11" t="s">
        <v>197</v>
      </c>
      <c r="E30" s="19">
        <v>-200000</v>
      </c>
      <c r="F30" t="s">
        <v>133</v>
      </c>
    </row>
    <row r="31" spans="1:6" x14ac:dyDescent="0.25">
      <c r="A31" s="11" t="s">
        <v>237</v>
      </c>
      <c r="B31" s="11">
        <v>2</v>
      </c>
      <c r="C31" s="11" t="s">
        <v>134</v>
      </c>
      <c r="D31" s="11" t="s">
        <v>216</v>
      </c>
      <c r="E31" s="19">
        <v>-42333.33</v>
      </c>
      <c r="F31" t="s">
        <v>133</v>
      </c>
    </row>
    <row r="32" spans="1:6" x14ac:dyDescent="0.25">
      <c r="A32" s="11" t="s">
        <v>238</v>
      </c>
      <c r="B32" s="11">
        <v>3</v>
      </c>
      <c r="C32" s="11" t="s">
        <v>72</v>
      </c>
      <c r="D32" s="11" t="s">
        <v>334</v>
      </c>
      <c r="E32" s="19">
        <v>-618055.55000000005</v>
      </c>
      <c r="F32" t="s">
        <v>131</v>
      </c>
    </row>
    <row r="33" spans="1:6" x14ac:dyDescent="0.25">
      <c r="A33" s="11" t="s">
        <v>238</v>
      </c>
      <c r="B33" s="11">
        <v>3</v>
      </c>
      <c r="C33" s="11" t="s">
        <v>72</v>
      </c>
      <c r="D33" s="11" t="s">
        <v>420</v>
      </c>
      <c r="E33" s="19">
        <v>0</v>
      </c>
      <c r="F33" t="s">
        <v>131</v>
      </c>
    </row>
    <row r="34" spans="1:6" x14ac:dyDescent="0.25">
      <c r="A34" s="11" t="s">
        <v>238</v>
      </c>
      <c r="B34" s="11">
        <v>3</v>
      </c>
      <c r="C34" s="11" t="s">
        <v>72</v>
      </c>
      <c r="D34" s="11" t="s">
        <v>216</v>
      </c>
      <c r="E34" s="19">
        <v>-3527.78</v>
      </c>
      <c r="F34" t="s">
        <v>131</v>
      </c>
    </row>
    <row r="35" spans="1:6" x14ac:dyDescent="0.25">
      <c r="A35" s="11" t="s">
        <v>238</v>
      </c>
      <c r="B35" s="11">
        <v>3</v>
      </c>
      <c r="C35" s="11" t="s">
        <v>72</v>
      </c>
      <c r="D35" s="11" t="s">
        <v>421</v>
      </c>
      <c r="E35" s="19">
        <v>41666.67</v>
      </c>
      <c r="F35" t="s">
        <v>131</v>
      </c>
    </row>
    <row r="36" spans="1:6" x14ac:dyDescent="0.25">
      <c r="A36" s="11" t="s">
        <v>238</v>
      </c>
      <c r="B36" s="11">
        <v>3</v>
      </c>
      <c r="C36" s="11" t="s">
        <v>132</v>
      </c>
      <c r="D36" s="11" t="s">
        <v>334</v>
      </c>
      <c r="E36" s="19">
        <v>-9270833.3300000001</v>
      </c>
      <c r="F36" t="s">
        <v>133</v>
      </c>
    </row>
    <row r="37" spans="1:6" x14ac:dyDescent="0.25">
      <c r="A37" s="11" t="s">
        <v>238</v>
      </c>
      <c r="B37" s="11">
        <v>3</v>
      </c>
      <c r="C37" s="11" t="s">
        <v>132</v>
      </c>
      <c r="D37" s="11" t="s">
        <v>420</v>
      </c>
      <c r="E37" s="19">
        <v>0</v>
      </c>
      <c r="F37" t="s">
        <v>133</v>
      </c>
    </row>
    <row r="38" spans="1:6" x14ac:dyDescent="0.25">
      <c r="A38" s="11" t="s">
        <v>238</v>
      </c>
      <c r="B38" s="11">
        <v>3</v>
      </c>
      <c r="C38" s="11" t="s">
        <v>132</v>
      </c>
      <c r="D38" s="11" t="s">
        <v>197</v>
      </c>
      <c r="E38" s="19">
        <v>-375000</v>
      </c>
      <c r="F38" t="s">
        <v>133</v>
      </c>
    </row>
    <row r="39" spans="1:6" x14ac:dyDescent="0.25">
      <c r="A39" s="11" t="s">
        <v>238</v>
      </c>
      <c r="B39" s="11">
        <v>3</v>
      </c>
      <c r="C39" s="11" t="s">
        <v>132</v>
      </c>
      <c r="D39" s="11" t="s">
        <v>216</v>
      </c>
      <c r="E39" s="19">
        <v>-52916.67</v>
      </c>
      <c r="F39" t="s">
        <v>133</v>
      </c>
    </row>
    <row r="40" spans="1:6" x14ac:dyDescent="0.25">
      <c r="A40" s="11" t="s">
        <v>238</v>
      </c>
      <c r="B40" s="11">
        <v>3</v>
      </c>
      <c r="C40" s="11" t="s">
        <v>132</v>
      </c>
      <c r="D40" s="11" t="s">
        <v>421</v>
      </c>
      <c r="E40" s="19">
        <v>625000</v>
      </c>
      <c r="F40" t="s">
        <v>133</v>
      </c>
    </row>
    <row r="41" spans="1:6" x14ac:dyDescent="0.25">
      <c r="A41" s="11" t="s">
        <v>238</v>
      </c>
      <c r="B41" s="11">
        <v>3</v>
      </c>
      <c r="C41" s="11" t="s">
        <v>134</v>
      </c>
      <c r="D41" s="11" t="s">
        <v>334</v>
      </c>
      <c r="E41" s="19">
        <v>-4944444.45</v>
      </c>
      <c r="F41" t="s">
        <v>133</v>
      </c>
    </row>
    <row r="42" spans="1:6" x14ac:dyDescent="0.25">
      <c r="A42" s="11" t="s">
        <v>238</v>
      </c>
      <c r="B42" s="11">
        <v>3</v>
      </c>
      <c r="C42" s="11" t="s">
        <v>134</v>
      </c>
      <c r="D42" s="11" t="s">
        <v>420</v>
      </c>
      <c r="E42" s="19">
        <v>0</v>
      </c>
      <c r="F42" t="s">
        <v>133</v>
      </c>
    </row>
    <row r="43" spans="1:6" x14ac:dyDescent="0.25">
      <c r="A43" s="11" t="s">
        <v>238</v>
      </c>
      <c r="B43" s="11">
        <v>3</v>
      </c>
      <c r="C43" s="11" t="s">
        <v>134</v>
      </c>
      <c r="D43" s="11" t="s">
        <v>197</v>
      </c>
      <c r="E43" s="19">
        <v>-200000</v>
      </c>
      <c r="F43" t="s">
        <v>133</v>
      </c>
    </row>
    <row r="44" spans="1:6" x14ac:dyDescent="0.25">
      <c r="A44" s="11" t="s">
        <v>238</v>
      </c>
      <c r="B44" s="11">
        <v>3</v>
      </c>
      <c r="C44" s="11" t="s">
        <v>134</v>
      </c>
      <c r="D44" s="11" t="s">
        <v>216</v>
      </c>
      <c r="E44" s="19">
        <v>-28222.22</v>
      </c>
      <c r="F44" t="s">
        <v>133</v>
      </c>
    </row>
    <row r="45" spans="1:6" x14ac:dyDescent="0.25">
      <c r="A45" s="11" t="s">
        <v>238</v>
      </c>
      <c r="B45" s="11">
        <v>3</v>
      </c>
      <c r="C45" s="11" t="s">
        <v>134</v>
      </c>
      <c r="D45" s="11" t="s">
        <v>421</v>
      </c>
      <c r="E45" s="19">
        <v>333333.33</v>
      </c>
      <c r="F45" t="s">
        <v>133</v>
      </c>
    </row>
    <row r="46" spans="1:6" x14ac:dyDescent="0.25">
      <c r="A46" s="11" t="s">
        <v>238</v>
      </c>
      <c r="B46" s="11">
        <v>3</v>
      </c>
      <c r="C46" s="11" t="s">
        <v>135</v>
      </c>
      <c r="D46" s="11" t="s">
        <v>334</v>
      </c>
      <c r="E46" s="19">
        <v>9236111.1099999994</v>
      </c>
      <c r="F46" t="s">
        <v>133</v>
      </c>
    </row>
    <row r="47" spans="1:6" x14ac:dyDescent="0.25">
      <c r="A47" s="11" t="s">
        <v>238</v>
      </c>
      <c r="B47" s="11">
        <v>3</v>
      </c>
      <c r="C47" s="11" t="s">
        <v>135</v>
      </c>
      <c r="D47" s="11" t="s">
        <v>420</v>
      </c>
      <c r="E47" s="19">
        <v>0</v>
      </c>
      <c r="F47" t="s">
        <v>133</v>
      </c>
    </row>
    <row r="48" spans="1:6" x14ac:dyDescent="0.25">
      <c r="A48" s="11" t="s">
        <v>238</v>
      </c>
      <c r="B48" s="11">
        <v>3</v>
      </c>
      <c r="C48" s="11" t="s">
        <v>135</v>
      </c>
      <c r="D48" s="11" t="s">
        <v>197</v>
      </c>
      <c r="E48" s="19">
        <v>-175000</v>
      </c>
      <c r="F48" t="s">
        <v>133</v>
      </c>
    </row>
    <row r="49" spans="1:6" x14ac:dyDescent="0.25">
      <c r="A49" s="11" t="s">
        <v>238</v>
      </c>
      <c r="B49" s="11">
        <v>3</v>
      </c>
      <c r="C49" s="11" t="s">
        <v>135</v>
      </c>
      <c r="D49" s="11" t="s">
        <v>216</v>
      </c>
      <c r="E49" s="19">
        <v>-24694.44</v>
      </c>
      <c r="F49" t="s">
        <v>133</v>
      </c>
    </row>
    <row r="50" spans="1:6" x14ac:dyDescent="0.25">
      <c r="A50" s="11" t="s">
        <v>238</v>
      </c>
      <c r="B50" s="11">
        <v>3</v>
      </c>
      <c r="C50" s="11" t="s">
        <v>135</v>
      </c>
      <c r="D50" s="11" t="s">
        <v>421</v>
      </c>
      <c r="E50" s="19">
        <v>291666.67</v>
      </c>
      <c r="F50" t="s">
        <v>133</v>
      </c>
    </row>
    <row r="51" spans="1:6" x14ac:dyDescent="0.25">
      <c r="A51" s="11" t="s">
        <v>238</v>
      </c>
      <c r="B51" s="11">
        <v>3</v>
      </c>
      <c r="C51" s="11" t="s">
        <v>136</v>
      </c>
      <c r="D51" s="11" t="s">
        <v>334</v>
      </c>
      <c r="E51" s="19">
        <v>6597222.2199999997</v>
      </c>
      <c r="F51" t="s">
        <v>133</v>
      </c>
    </row>
    <row r="52" spans="1:6" x14ac:dyDescent="0.25">
      <c r="A52" s="11" t="s">
        <v>238</v>
      </c>
      <c r="B52" s="11">
        <v>3</v>
      </c>
      <c r="C52" s="11" t="s">
        <v>136</v>
      </c>
      <c r="D52" s="11" t="s">
        <v>420</v>
      </c>
      <c r="E52" s="19">
        <v>0</v>
      </c>
      <c r="F52" t="s">
        <v>133</v>
      </c>
    </row>
    <row r="53" spans="1:6" x14ac:dyDescent="0.25">
      <c r="A53" s="11" t="s">
        <v>238</v>
      </c>
      <c r="B53" s="11">
        <v>3</v>
      </c>
      <c r="C53" s="11" t="s">
        <v>136</v>
      </c>
      <c r="D53" s="11" t="s">
        <v>197</v>
      </c>
      <c r="E53" s="19">
        <v>-125000</v>
      </c>
      <c r="F53" t="s">
        <v>133</v>
      </c>
    </row>
    <row r="54" spans="1:6" x14ac:dyDescent="0.25">
      <c r="A54" s="11" t="s">
        <v>238</v>
      </c>
      <c r="B54" s="11">
        <v>3</v>
      </c>
      <c r="C54" s="11" t="s">
        <v>136</v>
      </c>
      <c r="D54" s="11" t="s">
        <v>216</v>
      </c>
      <c r="E54" s="19">
        <v>-17638.89</v>
      </c>
      <c r="F54" t="s">
        <v>133</v>
      </c>
    </row>
    <row r="55" spans="1:6" x14ac:dyDescent="0.25">
      <c r="A55" s="11" t="s">
        <v>238</v>
      </c>
      <c r="B55" s="11">
        <v>3</v>
      </c>
      <c r="C55" s="11" t="s">
        <v>136</v>
      </c>
      <c r="D55" s="11" t="s">
        <v>421</v>
      </c>
      <c r="E55" s="19">
        <v>208333.33</v>
      </c>
      <c r="F55" t="s">
        <v>133</v>
      </c>
    </row>
    <row r="56" spans="1:6" x14ac:dyDescent="0.25">
      <c r="A56" s="11" t="s">
        <v>241</v>
      </c>
      <c r="B56" s="11">
        <v>4</v>
      </c>
      <c r="C56" s="11" t="s">
        <v>72</v>
      </c>
      <c r="D56" s="11" t="s">
        <v>334</v>
      </c>
      <c r="E56" s="19">
        <v>861111.11</v>
      </c>
      <c r="F56" t="s">
        <v>131</v>
      </c>
    </row>
    <row r="57" spans="1:6" x14ac:dyDescent="0.25">
      <c r="A57" s="11" t="s">
        <v>241</v>
      </c>
      <c r="B57" s="11">
        <v>4</v>
      </c>
      <c r="C57" s="11" t="s">
        <v>72</v>
      </c>
      <c r="D57" s="11" t="s">
        <v>216</v>
      </c>
      <c r="E57" s="19">
        <v>-3944.44</v>
      </c>
      <c r="F57" t="s">
        <v>131</v>
      </c>
    </row>
    <row r="58" spans="1:6" x14ac:dyDescent="0.25">
      <c r="A58" s="11" t="s">
        <v>241</v>
      </c>
      <c r="B58" s="11">
        <v>4</v>
      </c>
      <c r="C58" s="11" t="s">
        <v>132</v>
      </c>
      <c r="D58" s="11" t="s">
        <v>334</v>
      </c>
      <c r="E58" s="19">
        <v>12916666.67</v>
      </c>
      <c r="F58" t="s">
        <v>133</v>
      </c>
    </row>
    <row r="59" spans="1:6" x14ac:dyDescent="0.25">
      <c r="A59" s="11" t="s">
        <v>241</v>
      </c>
      <c r="B59" s="11">
        <v>4</v>
      </c>
      <c r="C59" s="11" t="s">
        <v>132</v>
      </c>
      <c r="D59" s="11" t="s">
        <v>197</v>
      </c>
      <c r="E59" s="19">
        <v>-375000</v>
      </c>
      <c r="F59" t="s">
        <v>133</v>
      </c>
    </row>
    <row r="60" spans="1:6" x14ac:dyDescent="0.25">
      <c r="A60" s="11" t="s">
        <v>241</v>
      </c>
      <c r="B60" s="11">
        <v>4</v>
      </c>
      <c r="C60" s="11" t="s">
        <v>132</v>
      </c>
      <c r="D60" s="11" t="s">
        <v>216</v>
      </c>
      <c r="E60" s="19">
        <v>-59166.67</v>
      </c>
      <c r="F60" t="s">
        <v>133</v>
      </c>
    </row>
    <row r="61" spans="1:6" x14ac:dyDescent="0.25">
      <c r="A61" s="11" t="s">
        <v>241</v>
      </c>
      <c r="B61" s="11">
        <v>4</v>
      </c>
      <c r="C61" s="11" t="s">
        <v>134</v>
      </c>
      <c r="D61" s="11" t="s">
        <v>334</v>
      </c>
      <c r="E61" s="19">
        <v>6888888.8899999997</v>
      </c>
      <c r="F61" t="s">
        <v>133</v>
      </c>
    </row>
    <row r="62" spans="1:6" x14ac:dyDescent="0.25">
      <c r="A62" s="11" t="s">
        <v>241</v>
      </c>
      <c r="B62" s="11">
        <v>4</v>
      </c>
      <c r="C62" s="11" t="s">
        <v>134</v>
      </c>
      <c r="D62" s="11" t="s">
        <v>197</v>
      </c>
      <c r="E62" s="19">
        <v>-200000</v>
      </c>
      <c r="F62" t="s">
        <v>133</v>
      </c>
    </row>
    <row r="63" spans="1:6" x14ac:dyDescent="0.25">
      <c r="A63" s="11" t="s">
        <v>241</v>
      </c>
      <c r="B63" s="11">
        <v>4</v>
      </c>
      <c r="C63" s="11" t="s">
        <v>134</v>
      </c>
      <c r="D63" s="11" t="s">
        <v>216</v>
      </c>
      <c r="E63" s="19">
        <v>-31555.56</v>
      </c>
      <c r="F63" t="s">
        <v>133</v>
      </c>
    </row>
    <row r="64" spans="1:6" x14ac:dyDescent="0.25">
      <c r="A64" s="11" t="s">
        <v>241</v>
      </c>
      <c r="B64" s="11">
        <v>4</v>
      </c>
      <c r="C64" s="11" t="s">
        <v>135</v>
      </c>
      <c r="D64" s="11" t="s">
        <v>334</v>
      </c>
      <c r="E64" s="19">
        <v>6027777.7800000003</v>
      </c>
      <c r="F64" t="s">
        <v>133</v>
      </c>
    </row>
    <row r="65" spans="1:6" x14ac:dyDescent="0.25">
      <c r="A65" s="11" t="s">
        <v>241</v>
      </c>
      <c r="B65" s="11">
        <v>4</v>
      </c>
      <c r="C65" s="11" t="s">
        <v>135</v>
      </c>
      <c r="D65" s="11" t="s">
        <v>197</v>
      </c>
      <c r="E65" s="19">
        <v>-175000</v>
      </c>
      <c r="F65" t="s">
        <v>133</v>
      </c>
    </row>
    <row r="66" spans="1:6" x14ac:dyDescent="0.25">
      <c r="A66" s="11" t="s">
        <v>241</v>
      </c>
      <c r="B66" s="11">
        <v>4</v>
      </c>
      <c r="C66" s="11" t="s">
        <v>135</v>
      </c>
      <c r="D66" s="11" t="s">
        <v>216</v>
      </c>
      <c r="E66" s="19">
        <v>-27611.11</v>
      </c>
      <c r="F66" t="s">
        <v>133</v>
      </c>
    </row>
    <row r="67" spans="1:6" x14ac:dyDescent="0.25">
      <c r="A67" s="11" t="s">
        <v>241</v>
      </c>
      <c r="B67" s="11">
        <v>4</v>
      </c>
      <c r="C67" s="11" t="s">
        <v>136</v>
      </c>
      <c r="D67" s="11" t="s">
        <v>334</v>
      </c>
      <c r="E67" s="19">
        <v>4305555.5599999996</v>
      </c>
      <c r="F67" t="s">
        <v>133</v>
      </c>
    </row>
    <row r="68" spans="1:6" x14ac:dyDescent="0.25">
      <c r="A68" s="11" t="s">
        <v>241</v>
      </c>
      <c r="B68" s="11">
        <v>4</v>
      </c>
      <c r="C68" s="11" t="s">
        <v>136</v>
      </c>
      <c r="D68" s="11" t="s">
        <v>197</v>
      </c>
      <c r="E68" s="19">
        <v>-125000</v>
      </c>
      <c r="F68" t="s">
        <v>133</v>
      </c>
    </row>
    <row r="69" spans="1:6" x14ac:dyDescent="0.25">
      <c r="A69" s="11" t="s">
        <v>241</v>
      </c>
      <c r="B69" s="11">
        <v>4</v>
      </c>
      <c r="C69" s="11" t="s">
        <v>136</v>
      </c>
      <c r="D69" s="11" t="s">
        <v>216</v>
      </c>
      <c r="E69" s="19">
        <v>-19722.22</v>
      </c>
      <c r="F69" t="s">
        <v>133</v>
      </c>
    </row>
    <row r="70" spans="1:6" x14ac:dyDescent="0.25">
      <c r="A70" s="11" t="s">
        <v>242</v>
      </c>
      <c r="B70" s="11">
        <v>5</v>
      </c>
      <c r="C70" s="11" t="s">
        <v>72</v>
      </c>
      <c r="D70" s="11" t="s">
        <v>334</v>
      </c>
      <c r="E70" s="19">
        <v>-582555.56000000006</v>
      </c>
      <c r="F70" t="s">
        <v>131</v>
      </c>
    </row>
    <row r="71" spans="1:6" x14ac:dyDescent="0.25">
      <c r="A71" s="11" t="s">
        <v>242</v>
      </c>
      <c r="B71" s="11">
        <v>5</v>
      </c>
      <c r="C71" s="11" t="s">
        <v>72</v>
      </c>
      <c r="D71" s="11" t="s">
        <v>420</v>
      </c>
      <c r="E71" s="19">
        <v>0</v>
      </c>
      <c r="F71" t="s">
        <v>131</v>
      </c>
    </row>
    <row r="72" spans="1:6" x14ac:dyDescent="0.25">
      <c r="A72" s="11" t="s">
        <v>242</v>
      </c>
      <c r="B72" s="11">
        <v>5</v>
      </c>
      <c r="C72" s="11" t="s">
        <v>72</v>
      </c>
      <c r="D72" s="11" t="s">
        <v>216</v>
      </c>
      <c r="E72" s="19">
        <v>-2840</v>
      </c>
      <c r="F72" t="s">
        <v>131</v>
      </c>
    </row>
    <row r="73" spans="1:6" x14ac:dyDescent="0.25">
      <c r="A73" s="11" t="s">
        <v>242</v>
      </c>
      <c r="B73" s="11">
        <v>5</v>
      </c>
      <c r="C73" s="11" t="s">
        <v>72</v>
      </c>
      <c r="D73" s="11" t="s">
        <v>421</v>
      </c>
      <c r="E73" s="19">
        <v>-70000</v>
      </c>
      <c r="F73" t="s">
        <v>131</v>
      </c>
    </row>
    <row r="74" spans="1:6" x14ac:dyDescent="0.25">
      <c r="A74" s="11" t="s">
        <v>242</v>
      </c>
      <c r="B74" s="11">
        <v>5</v>
      </c>
      <c r="C74" s="11" t="s">
        <v>132</v>
      </c>
      <c r="D74" s="11" t="s">
        <v>334</v>
      </c>
      <c r="E74" s="19">
        <v>-8738333.3300000001</v>
      </c>
      <c r="F74" t="s">
        <v>133</v>
      </c>
    </row>
    <row r="75" spans="1:6" x14ac:dyDescent="0.25">
      <c r="A75" s="11" t="s">
        <v>242</v>
      </c>
      <c r="B75" s="11">
        <v>5</v>
      </c>
      <c r="C75" s="11" t="s">
        <v>132</v>
      </c>
      <c r="D75" s="11" t="s">
        <v>420</v>
      </c>
      <c r="E75" s="19">
        <v>0</v>
      </c>
      <c r="F75" t="s">
        <v>133</v>
      </c>
    </row>
    <row r="76" spans="1:6" x14ac:dyDescent="0.25">
      <c r="A76" s="11" t="s">
        <v>242</v>
      </c>
      <c r="B76" s="11">
        <v>5</v>
      </c>
      <c r="C76" s="11" t="s">
        <v>132</v>
      </c>
      <c r="D76" s="11" t="s">
        <v>197</v>
      </c>
      <c r="E76" s="19">
        <v>-375000</v>
      </c>
      <c r="F76" t="s">
        <v>133</v>
      </c>
    </row>
    <row r="77" spans="1:6" x14ac:dyDescent="0.25">
      <c r="A77" s="11" t="s">
        <v>242</v>
      </c>
      <c r="B77" s="11">
        <v>5</v>
      </c>
      <c r="C77" s="11" t="s">
        <v>132</v>
      </c>
      <c r="D77" s="11" t="s">
        <v>216</v>
      </c>
      <c r="E77" s="19">
        <v>-42600</v>
      </c>
      <c r="F77" t="s">
        <v>133</v>
      </c>
    </row>
    <row r="78" spans="1:6" x14ac:dyDescent="0.25">
      <c r="A78" s="11" t="s">
        <v>242</v>
      </c>
      <c r="B78" s="11">
        <v>5</v>
      </c>
      <c r="C78" s="11" t="s">
        <v>132</v>
      </c>
      <c r="D78" s="11" t="s">
        <v>421</v>
      </c>
      <c r="E78" s="19">
        <v>-1050000</v>
      </c>
      <c r="F78" t="s">
        <v>133</v>
      </c>
    </row>
    <row r="79" spans="1:6" x14ac:dyDescent="0.25">
      <c r="A79" s="11" t="s">
        <v>242</v>
      </c>
      <c r="B79" s="11">
        <v>5</v>
      </c>
      <c r="C79" s="11" t="s">
        <v>134</v>
      </c>
      <c r="D79" s="11" t="s">
        <v>334</v>
      </c>
      <c r="E79" s="19">
        <v>-4660444.45</v>
      </c>
      <c r="F79" t="s">
        <v>133</v>
      </c>
    </row>
    <row r="80" spans="1:6" x14ac:dyDescent="0.25">
      <c r="A80" s="11" t="s">
        <v>242</v>
      </c>
      <c r="B80" s="11">
        <v>5</v>
      </c>
      <c r="C80" s="11" t="s">
        <v>134</v>
      </c>
      <c r="D80" s="11" t="s">
        <v>420</v>
      </c>
      <c r="E80" s="19">
        <v>0</v>
      </c>
      <c r="F80" t="s">
        <v>133</v>
      </c>
    </row>
    <row r="81" spans="1:6" x14ac:dyDescent="0.25">
      <c r="A81" s="11" t="s">
        <v>242</v>
      </c>
      <c r="B81" s="11">
        <v>5</v>
      </c>
      <c r="C81" s="11" t="s">
        <v>134</v>
      </c>
      <c r="D81" s="11" t="s">
        <v>197</v>
      </c>
      <c r="E81" s="19">
        <v>-200000</v>
      </c>
      <c r="F81" t="s">
        <v>133</v>
      </c>
    </row>
    <row r="82" spans="1:6" x14ac:dyDescent="0.25">
      <c r="A82" s="11" t="s">
        <v>242</v>
      </c>
      <c r="B82" s="11">
        <v>5</v>
      </c>
      <c r="C82" s="11" t="s">
        <v>134</v>
      </c>
      <c r="D82" s="11" t="s">
        <v>216</v>
      </c>
      <c r="E82" s="19">
        <v>-22720</v>
      </c>
      <c r="F82" t="s">
        <v>133</v>
      </c>
    </row>
    <row r="83" spans="1:6" x14ac:dyDescent="0.25">
      <c r="A83" s="11" t="s">
        <v>242</v>
      </c>
      <c r="B83" s="11">
        <v>5</v>
      </c>
      <c r="C83" s="11" t="s">
        <v>134</v>
      </c>
      <c r="D83" s="11" t="s">
        <v>421</v>
      </c>
      <c r="E83" s="19">
        <v>-560000</v>
      </c>
      <c r="F83" t="s">
        <v>133</v>
      </c>
    </row>
    <row r="84" spans="1:6" x14ac:dyDescent="0.25">
      <c r="A84" s="11" t="s">
        <v>242</v>
      </c>
      <c r="B84" s="11">
        <v>5</v>
      </c>
      <c r="C84" s="11" t="s">
        <v>135</v>
      </c>
      <c r="D84" s="11" t="s">
        <v>334</v>
      </c>
      <c r="E84" s="19">
        <v>-4077888.89</v>
      </c>
      <c r="F84" t="s">
        <v>133</v>
      </c>
    </row>
    <row r="85" spans="1:6" x14ac:dyDescent="0.25">
      <c r="A85" s="11" t="s">
        <v>242</v>
      </c>
      <c r="B85" s="11">
        <v>5</v>
      </c>
      <c r="C85" s="11" t="s">
        <v>135</v>
      </c>
      <c r="D85" s="11" t="s">
        <v>420</v>
      </c>
      <c r="E85" s="19">
        <v>0</v>
      </c>
      <c r="F85" t="s">
        <v>133</v>
      </c>
    </row>
    <row r="86" spans="1:6" x14ac:dyDescent="0.25">
      <c r="A86" s="11" t="s">
        <v>242</v>
      </c>
      <c r="B86" s="11">
        <v>5</v>
      </c>
      <c r="C86" s="11" t="s">
        <v>135</v>
      </c>
      <c r="D86" s="11" t="s">
        <v>197</v>
      </c>
      <c r="E86" s="19">
        <v>-175000</v>
      </c>
      <c r="F86" t="s">
        <v>133</v>
      </c>
    </row>
    <row r="87" spans="1:6" x14ac:dyDescent="0.25">
      <c r="A87" s="11" t="s">
        <v>242</v>
      </c>
      <c r="B87" s="11">
        <v>5</v>
      </c>
      <c r="C87" s="11" t="s">
        <v>135</v>
      </c>
      <c r="D87" s="11" t="s">
        <v>216</v>
      </c>
      <c r="E87" s="19">
        <v>-19880</v>
      </c>
      <c r="F87" t="s">
        <v>133</v>
      </c>
    </row>
    <row r="88" spans="1:6" x14ac:dyDescent="0.25">
      <c r="A88" s="11" t="s">
        <v>242</v>
      </c>
      <c r="B88" s="11">
        <v>5</v>
      </c>
      <c r="C88" s="11" t="s">
        <v>135</v>
      </c>
      <c r="D88" s="11" t="s">
        <v>421</v>
      </c>
      <c r="E88" s="19">
        <v>-490000</v>
      </c>
      <c r="F88" t="s">
        <v>133</v>
      </c>
    </row>
    <row r="89" spans="1:6" x14ac:dyDescent="0.25">
      <c r="A89" s="11" t="s">
        <v>242</v>
      </c>
      <c r="B89" s="11">
        <v>5</v>
      </c>
      <c r="C89" s="11" t="s">
        <v>136</v>
      </c>
      <c r="D89" s="11" t="s">
        <v>334</v>
      </c>
      <c r="E89" s="19">
        <v>-2912777.78</v>
      </c>
      <c r="F89" t="s">
        <v>133</v>
      </c>
    </row>
    <row r="90" spans="1:6" x14ac:dyDescent="0.25">
      <c r="A90" s="11" t="s">
        <v>242</v>
      </c>
      <c r="B90" s="11">
        <v>5</v>
      </c>
      <c r="C90" s="11" t="s">
        <v>136</v>
      </c>
      <c r="D90" s="11" t="s">
        <v>420</v>
      </c>
      <c r="E90" s="19">
        <v>0</v>
      </c>
      <c r="F90" t="s">
        <v>133</v>
      </c>
    </row>
    <row r="91" spans="1:6" x14ac:dyDescent="0.25">
      <c r="A91" s="11" t="s">
        <v>242</v>
      </c>
      <c r="B91" s="11">
        <v>5</v>
      </c>
      <c r="C91" s="11" t="s">
        <v>136</v>
      </c>
      <c r="D91" s="11" t="s">
        <v>197</v>
      </c>
      <c r="E91" s="19">
        <v>-125000</v>
      </c>
      <c r="F91" t="s">
        <v>133</v>
      </c>
    </row>
    <row r="92" spans="1:6" x14ac:dyDescent="0.25">
      <c r="A92" s="11" t="s">
        <v>242</v>
      </c>
      <c r="B92" s="11">
        <v>5</v>
      </c>
      <c r="C92" s="11" t="s">
        <v>136</v>
      </c>
      <c r="D92" s="11" t="s">
        <v>216</v>
      </c>
      <c r="E92" s="19">
        <v>-14200</v>
      </c>
      <c r="F92" t="s">
        <v>133</v>
      </c>
    </row>
    <row r="93" spans="1:6" x14ac:dyDescent="0.25">
      <c r="A93" s="11" t="s">
        <v>242</v>
      </c>
      <c r="B93" s="11">
        <v>5</v>
      </c>
      <c r="C93" s="11" t="s">
        <v>136</v>
      </c>
      <c r="D93" s="11" t="s">
        <v>421</v>
      </c>
      <c r="E93" s="19">
        <v>-350000</v>
      </c>
      <c r="F93" t="s">
        <v>133</v>
      </c>
    </row>
    <row r="94" spans="1:6" x14ac:dyDescent="0.25">
      <c r="A94" s="11" t="s">
        <v>242</v>
      </c>
      <c r="B94" s="11">
        <v>5</v>
      </c>
      <c r="C94" s="11" t="s">
        <v>137</v>
      </c>
      <c r="D94" s="11" t="s">
        <v>334</v>
      </c>
      <c r="E94" s="19">
        <v>9588000</v>
      </c>
      <c r="F94" t="s">
        <v>133</v>
      </c>
    </row>
    <row r="95" spans="1:6" x14ac:dyDescent="0.25">
      <c r="A95" s="11" t="s">
        <v>242</v>
      </c>
      <c r="B95" s="11">
        <v>5</v>
      </c>
      <c r="C95" s="11" t="s">
        <v>137</v>
      </c>
      <c r="D95" s="11" t="s">
        <v>420</v>
      </c>
      <c r="E95" s="19">
        <v>0</v>
      </c>
      <c r="F95" t="s">
        <v>133</v>
      </c>
    </row>
    <row r="96" spans="1:6" x14ac:dyDescent="0.25">
      <c r="A96" s="11" t="s">
        <v>242</v>
      </c>
      <c r="B96" s="11">
        <v>5</v>
      </c>
      <c r="C96" s="11" t="s">
        <v>137</v>
      </c>
      <c r="D96" s="11" t="s">
        <v>197</v>
      </c>
      <c r="E96" s="19">
        <v>-150000</v>
      </c>
      <c r="F96" t="s">
        <v>133</v>
      </c>
    </row>
    <row r="97" spans="1:6" x14ac:dyDescent="0.25">
      <c r="A97" s="11" t="s">
        <v>242</v>
      </c>
      <c r="B97" s="11">
        <v>5</v>
      </c>
      <c r="C97" s="11" t="s">
        <v>137</v>
      </c>
      <c r="D97" s="11" t="s">
        <v>216</v>
      </c>
      <c r="E97" s="19">
        <v>-17040</v>
      </c>
      <c r="F97" t="s">
        <v>133</v>
      </c>
    </row>
    <row r="98" spans="1:6" x14ac:dyDescent="0.25">
      <c r="A98" s="11" t="s">
        <v>242</v>
      </c>
      <c r="B98" s="11">
        <v>5</v>
      </c>
      <c r="C98" s="11" t="s">
        <v>137</v>
      </c>
      <c r="D98" s="11" t="s">
        <v>421</v>
      </c>
      <c r="E98" s="19">
        <v>-420000</v>
      </c>
      <c r="F98" t="s">
        <v>133</v>
      </c>
    </row>
    <row r="99" spans="1:6" x14ac:dyDescent="0.25">
      <c r="A99" s="11" t="s">
        <v>242</v>
      </c>
      <c r="B99" s="11">
        <v>5</v>
      </c>
      <c r="C99" s="11" t="s">
        <v>139</v>
      </c>
      <c r="D99" s="11" t="s">
        <v>334</v>
      </c>
      <c r="E99" s="19">
        <v>12784000</v>
      </c>
      <c r="F99" t="s">
        <v>133</v>
      </c>
    </row>
    <row r="100" spans="1:6" x14ac:dyDescent="0.25">
      <c r="A100" s="11" t="s">
        <v>242</v>
      </c>
      <c r="B100" s="11">
        <v>5</v>
      </c>
      <c r="C100" s="11" t="s">
        <v>139</v>
      </c>
      <c r="D100" s="11" t="s">
        <v>420</v>
      </c>
      <c r="E100" s="19">
        <v>0</v>
      </c>
      <c r="F100" t="s">
        <v>133</v>
      </c>
    </row>
    <row r="101" spans="1:6" x14ac:dyDescent="0.25">
      <c r="A101" s="11" t="s">
        <v>242</v>
      </c>
      <c r="B101" s="11">
        <v>5</v>
      </c>
      <c r="C101" s="11" t="s">
        <v>139</v>
      </c>
      <c r="D101" s="11" t="s">
        <v>197</v>
      </c>
      <c r="E101" s="19">
        <v>-200000</v>
      </c>
      <c r="F101" t="s">
        <v>133</v>
      </c>
    </row>
    <row r="102" spans="1:6" x14ac:dyDescent="0.25">
      <c r="A102" s="11" t="s">
        <v>242</v>
      </c>
      <c r="B102" s="11">
        <v>5</v>
      </c>
      <c r="C102" s="11" t="s">
        <v>139</v>
      </c>
      <c r="D102" s="11" t="s">
        <v>216</v>
      </c>
      <c r="E102" s="19">
        <v>-22720</v>
      </c>
      <c r="F102" t="s">
        <v>133</v>
      </c>
    </row>
    <row r="103" spans="1:6" x14ac:dyDescent="0.25">
      <c r="A103" s="11" t="s">
        <v>242</v>
      </c>
      <c r="B103" s="11">
        <v>5</v>
      </c>
      <c r="C103" s="11" t="s">
        <v>139</v>
      </c>
      <c r="D103" s="11" t="s">
        <v>421</v>
      </c>
      <c r="E103" s="19">
        <v>-560000</v>
      </c>
      <c r="F103" t="s">
        <v>133</v>
      </c>
    </row>
    <row r="104" spans="1:6" x14ac:dyDescent="0.25">
      <c r="A104" s="11" t="s">
        <v>243</v>
      </c>
      <c r="B104" s="11">
        <v>6</v>
      </c>
      <c r="C104" s="11" t="s">
        <v>72</v>
      </c>
      <c r="D104" s="11" t="s">
        <v>334</v>
      </c>
      <c r="E104" s="19">
        <v>28000</v>
      </c>
      <c r="F104" t="s">
        <v>131</v>
      </c>
    </row>
    <row r="105" spans="1:6" x14ac:dyDescent="0.25">
      <c r="A105" s="11" t="s">
        <v>243</v>
      </c>
      <c r="B105" s="11">
        <v>6</v>
      </c>
      <c r="C105" s="11" t="s">
        <v>72</v>
      </c>
      <c r="D105" s="11" t="s">
        <v>216</v>
      </c>
      <c r="E105" s="19">
        <v>-2840</v>
      </c>
      <c r="F105" t="s">
        <v>131</v>
      </c>
    </row>
    <row r="106" spans="1:6" x14ac:dyDescent="0.25">
      <c r="A106" s="11" t="s">
        <v>243</v>
      </c>
      <c r="B106" s="11">
        <v>6</v>
      </c>
      <c r="C106" s="11" t="s">
        <v>132</v>
      </c>
      <c r="D106" s="11" t="s">
        <v>334</v>
      </c>
      <c r="E106" s="19">
        <v>420000</v>
      </c>
      <c r="F106" t="s">
        <v>133</v>
      </c>
    </row>
    <row r="107" spans="1:6" x14ac:dyDescent="0.25">
      <c r="A107" s="11" t="s">
        <v>243</v>
      </c>
      <c r="B107" s="11">
        <v>6</v>
      </c>
      <c r="C107" s="11" t="s">
        <v>132</v>
      </c>
      <c r="D107" s="11" t="s">
        <v>197</v>
      </c>
      <c r="E107" s="19">
        <v>-375000</v>
      </c>
      <c r="F107" t="s">
        <v>133</v>
      </c>
    </row>
    <row r="108" spans="1:6" x14ac:dyDescent="0.25">
      <c r="A108" s="11" t="s">
        <v>243</v>
      </c>
      <c r="B108" s="11">
        <v>6</v>
      </c>
      <c r="C108" s="11" t="s">
        <v>132</v>
      </c>
      <c r="D108" s="11" t="s">
        <v>216</v>
      </c>
      <c r="E108" s="19">
        <v>-42600</v>
      </c>
      <c r="F108" t="s">
        <v>133</v>
      </c>
    </row>
    <row r="109" spans="1:6" x14ac:dyDescent="0.25">
      <c r="A109" s="11" t="s">
        <v>243</v>
      </c>
      <c r="B109" s="11">
        <v>6</v>
      </c>
      <c r="C109" s="11" t="s">
        <v>134</v>
      </c>
      <c r="D109" s="11" t="s">
        <v>334</v>
      </c>
      <c r="E109" s="19">
        <v>224000</v>
      </c>
      <c r="F109" t="s">
        <v>133</v>
      </c>
    </row>
    <row r="110" spans="1:6" x14ac:dyDescent="0.25">
      <c r="A110" s="11" t="s">
        <v>243</v>
      </c>
      <c r="B110" s="11">
        <v>6</v>
      </c>
      <c r="C110" s="11" t="s">
        <v>134</v>
      </c>
      <c r="D110" s="11" t="s">
        <v>197</v>
      </c>
      <c r="E110" s="19">
        <v>-200000</v>
      </c>
      <c r="F110" t="s">
        <v>133</v>
      </c>
    </row>
    <row r="111" spans="1:6" x14ac:dyDescent="0.25">
      <c r="A111" s="11" t="s">
        <v>243</v>
      </c>
      <c r="B111" s="11">
        <v>6</v>
      </c>
      <c r="C111" s="11" t="s">
        <v>134</v>
      </c>
      <c r="D111" s="11" t="s">
        <v>216</v>
      </c>
      <c r="E111" s="19">
        <v>-22720</v>
      </c>
      <c r="F111" t="s">
        <v>133</v>
      </c>
    </row>
    <row r="112" spans="1:6" x14ac:dyDescent="0.25">
      <c r="A112" s="11" t="s">
        <v>243</v>
      </c>
      <c r="B112" s="11">
        <v>6</v>
      </c>
      <c r="C112" s="11" t="s">
        <v>135</v>
      </c>
      <c r="D112" s="11" t="s">
        <v>334</v>
      </c>
      <c r="E112" s="19">
        <v>196000</v>
      </c>
      <c r="F112" t="s">
        <v>133</v>
      </c>
    </row>
    <row r="113" spans="1:6" x14ac:dyDescent="0.25">
      <c r="A113" s="11" t="s">
        <v>243</v>
      </c>
      <c r="B113" s="11">
        <v>6</v>
      </c>
      <c r="C113" s="11" t="s">
        <v>135</v>
      </c>
      <c r="D113" s="11" t="s">
        <v>197</v>
      </c>
      <c r="E113" s="19">
        <v>-175000</v>
      </c>
      <c r="F113" t="s">
        <v>133</v>
      </c>
    </row>
    <row r="114" spans="1:6" x14ac:dyDescent="0.25">
      <c r="A114" s="11" t="s">
        <v>243</v>
      </c>
      <c r="B114" s="11">
        <v>6</v>
      </c>
      <c r="C114" s="11" t="s">
        <v>135</v>
      </c>
      <c r="D114" s="11" t="s">
        <v>216</v>
      </c>
      <c r="E114" s="19">
        <v>-19880</v>
      </c>
      <c r="F114" t="s">
        <v>133</v>
      </c>
    </row>
    <row r="115" spans="1:6" x14ac:dyDescent="0.25">
      <c r="A115" s="11" t="s">
        <v>243</v>
      </c>
      <c r="B115" s="11">
        <v>6</v>
      </c>
      <c r="C115" s="11" t="s">
        <v>136</v>
      </c>
      <c r="D115" s="11" t="s">
        <v>334</v>
      </c>
      <c r="E115" s="19">
        <v>140000</v>
      </c>
      <c r="F115" t="s">
        <v>133</v>
      </c>
    </row>
    <row r="116" spans="1:6" x14ac:dyDescent="0.25">
      <c r="A116" s="11" t="s">
        <v>243</v>
      </c>
      <c r="B116" s="11">
        <v>6</v>
      </c>
      <c r="C116" s="11" t="s">
        <v>136</v>
      </c>
      <c r="D116" s="11" t="s">
        <v>197</v>
      </c>
      <c r="E116" s="19">
        <v>-125000</v>
      </c>
      <c r="F116" t="s">
        <v>133</v>
      </c>
    </row>
    <row r="117" spans="1:6" x14ac:dyDescent="0.25">
      <c r="A117" s="11" t="s">
        <v>243</v>
      </c>
      <c r="B117" s="11">
        <v>6</v>
      </c>
      <c r="C117" s="11" t="s">
        <v>136</v>
      </c>
      <c r="D117" s="11" t="s">
        <v>216</v>
      </c>
      <c r="E117" s="19">
        <v>-14200</v>
      </c>
      <c r="F117" t="s">
        <v>133</v>
      </c>
    </row>
    <row r="118" spans="1:6" x14ac:dyDescent="0.25">
      <c r="A118" s="11" t="s">
        <v>243</v>
      </c>
      <c r="B118" s="11">
        <v>6</v>
      </c>
      <c r="C118" s="11" t="s">
        <v>137</v>
      </c>
      <c r="D118" s="11" t="s">
        <v>334</v>
      </c>
      <c r="E118" s="19">
        <v>168000</v>
      </c>
      <c r="F118" t="s">
        <v>133</v>
      </c>
    </row>
    <row r="119" spans="1:6" x14ac:dyDescent="0.25">
      <c r="A119" s="11" t="s">
        <v>243</v>
      </c>
      <c r="B119" s="11">
        <v>6</v>
      </c>
      <c r="C119" s="11" t="s">
        <v>137</v>
      </c>
      <c r="D119" s="11" t="s">
        <v>197</v>
      </c>
      <c r="E119" s="19">
        <v>-150000</v>
      </c>
      <c r="F119" t="s">
        <v>133</v>
      </c>
    </row>
    <row r="120" spans="1:6" x14ac:dyDescent="0.25">
      <c r="A120" s="11" t="s">
        <v>243</v>
      </c>
      <c r="B120" s="11">
        <v>6</v>
      </c>
      <c r="C120" s="11" t="s">
        <v>137</v>
      </c>
      <c r="D120" s="11" t="s">
        <v>216</v>
      </c>
      <c r="E120" s="19">
        <v>-17040</v>
      </c>
      <c r="F120" t="s">
        <v>133</v>
      </c>
    </row>
    <row r="121" spans="1:6" x14ac:dyDescent="0.25">
      <c r="A121" s="11" t="s">
        <v>243</v>
      </c>
      <c r="B121" s="11">
        <v>6</v>
      </c>
      <c r="C121" s="11" t="s">
        <v>139</v>
      </c>
      <c r="D121" s="11" t="s">
        <v>334</v>
      </c>
      <c r="E121" s="19">
        <v>224000</v>
      </c>
      <c r="F121" t="s">
        <v>133</v>
      </c>
    </row>
    <row r="122" spans="1:6" x14ac:dyDescent="0.25">
      <c r="A122" s="11" t="s">
        <v>243</v>
      </c>
      <c r="B122" s="11">
        <v>6</v>
      </c>
      <c r="C122" s="11" t="s">
        <v>139</v>
      </c>
      <c r="D122" s="11" t="s">
        <v>197</v>
      </c>
      <c r="E122" s="19">
        <v>-200000</v>
      </c>
      <c r="F122" t="s">
        <v>133</v>
      </c>
    </row>
    <row r="123" spans="1:6" x14ac:dyDescent="0.25">
      <c r="A123" s="11" t="s">
        <v>243</v>
      </c>
      <c r="B123" s="11">
        <v>6</v>
      </c>
      <c r="C123" s="11" t="s">
        <v>139</v>
      </c>
      <c r="D123" s="11" t="s">
        <v>216</v>
      </c>
      <c r="E123" s="19">
        <v>-22720</v>
      </c>
      <c r="F123" t="s">
        <v>133</v>
      </c>
    </row>
    <row r="124" spans="1:6" x14ac:dyDescent="0.25">
      <c r="A124" s="11" t="s">
        <v>244</v>
      </c>
      <c r="B124" s="11">
        <v>7</v>
      </c>
      <c r="C124" s="11" t="s">
        <v>72</v>
      </c>
      <c r="D124" s="11" t="s">
        <v>334</v>
      </c>
      <c r="E124" s="19">
        <v>526000</v>
      </c>
      <c r="F124" t="s">
        <v>131</v>
      </c>
    </row>
    <row r="125" spans="1:6" x14ac:dyDescent="0.25">
      <c r="A125" s="11" t="s">
        <v>244</v>
      </c>
      <c r="B125" s="11">
        <v>7</v>
      </c>
      <c r="C125" s="11" t="s">
        <v>72</v>
      </c>
      <c r="D125" s="11" t="s">
        <v>216</v>
      </c>
      <c r="E125" s="19">
        <v>-2840</v>
      </c>
      <c r="F125" t="s">
        <v>131</v>
      </c>
    </row>
    <row r="126" spans="1:6" x14ac:dyDescent="0.25">
      <c r="A126" s="11" t="s">
        <v>244</v>
      </c>
      <c r="B126" s="11">
        <v>7</v>
      </c>
      <c r="C126" s="11" t="s">
        <v>72</v>
      </c>
      <c r="D126" s="11" t="s">
        <v>421</v>
      </c>
      <c r="E126" s="19">
        <v>220000</v>
      </c>
      <c r="F126" t="s">
        <v>131</v>
      </c>
    </row>
    <row r="127" spans="1:6" x14ac:dyDescent="0.25">
      <c r="A127" s="11" t="s">
        <v>244</v>
      </c>
      <c r="B127" s="11">
        <v>7</v>
      </c>
      <c r="C127" s="11" t="s">
        <v>132</v>
      </c>
      <c r="D127" s="11" t="s">
        <v>334</v>
      </c>
      <c r="E127" s="19">
        <v>7890000</v>
      </c>
      <c r="F127" t="s">
        <v>133</v>
      </c>
    </row>
    <row r="128" spans="1:6" x14ac:dyDescent="0.25">
      <c r="A128" s="11" t="s">
        <v>244</v>
      </c>
      <c r="B128" s="11">
        <v>7</v>
      </c>
      <c r="C128" s="11" t="s">
        <v>132</v>
      </c>
      <c r="D128" s="11" t="s">
        <v>197</v>
      </c>
      <c r="E128" s="19">
        <v>-375000</v>
      </c>
      <c r="F128" t="s">
        <v>133</v>
      </c>
    </row>
    <row r="129" spans="1:6" x14ac:dyDescent="0.25">
      <c r="A129" s="11" t="s">
        <v>244</v>
      </c>
      <c r="B129" s="11">
        <v>7</v>
      </c>
      <c r="C129" s="11" t="s">
        <v>132</v>
      </c>
      <c r="D129" s="11" t="s">
        <v>216</v>
      </c>
      <c r="E129" s="19">
        <v>-42600</v>
      </c>
      <c r="F129" t="s">
        <v>133</v>
      </c>
    </row>
    <row r="130" spans="1:6" x14ac:dyDescent="0.25">
      <c r="A130" s="11" t="s">
        <v>244</v>
      </c>
      <c r="B130" s="11">
        <v>7</v>
      </c>
      <c r="C130" s="11" t="s">
        <v>132</v>
      </c>
      <c r="D130" s="11" t="s">
        <v>421</v>
      </c>
      <c r="E130" s="19">
        <v>3300000</v>
      </c>
      <c r="F130" t="s">
        <v>133</v>
      </c>
    </row>
    <row r="131" spans="1:6" x14ac:dyDescent="0.25">
      <c r="A131" s="11" t="s">
        <v>244</v>
      </c>
      <c r="B131" s="11">
        <v>7</v>
      </c>
      <c r="C131" s="11" t="s">
        <v>134</v>
      </c>
      <c r="D131" s="11" t="s">
        <v>334</v>
      </c>
      <c r="E131" s="19">
        <v>4208000</v>
      </c>
      <c r="F131" t="s">
        <v>133</v>
      </c>
    </row>
    <row r="132" spans="1:6" x14ac:dyDescent="0.25">
      <c r="A132" s="11" t="s">
        <v>244</v>
      </c>
      <c r="B132" s="11">
        <v>7</v>
      </c>
      <c r="C132" s="11" t="s">
        <v>134</v>
      </c>
      <c r="D132" s="11" t="s">
        <v>197</v>
      </c>
      <c r="E132" s="19">
        <v>-200000</v>
      </c>
      <c r="F132" t="s">
        <v>133</v>
      </c>
    </row>
    <row r="133" spans="1:6" x14ac:dyDescent="0.25">
      <c r="A133" s="11" t="s">
        <v>244</v>
      </c>
      <c r="B133" s="11">
        <v>7</v>
      </c>
      <c r="C133" s="11" t="s">
        <v>134</v>
      </c>
      <c r="D133" s="11" t="s">
        <v>216</v>
      </c>
      <c r="E133" s="19">
        <v>-22720</v>
      </c>
      <c r="F133" t="s">
        <v>133</v>
      </c>
    </row>
    <row r="134" spans="1:6" x14ac:dyDescent="0.25">
      <c r="A134" s="11" t="s">
        <v>244</v>
      </c>
      <c r="B134" s="11">
        <v>7</v>
      </c>
      <c r="C134" s="11" t="s">
        <v>134</v>
      </c>
      <c r="D134" s="11" t="s">
        <v>421</v>
      </c>
      <c r="E134" s="19">
        <v>1760000</v>
      </c>
      <c r="F134" t="s">
        <v>133</v>
      </c>
    </row>
    <row r="135" spans="1:6" x14ac:dyDescent="0.25">
      <c r="A135" s="11" t="s">
        <v>244</v>
      </c>
      <c r="B135" s="11">
        <v>7</v>
      </c>
      <c r="C135" s="11" t="s">
        <v>135</v>
      </c>
      <c r="D135" s="11" t="s">
        <v>334</v>
      </c>
      <c r="E135" s="19">
        <v>3682000</v>
      </c>
      <c r="F135" t="s">
        <v>133</v>
      </c>
    </row>
    <row r="136" spans="1:6" x14ac:dyDescent="0.25">
      <c r="A136" s="11" t="s">
        <v>244</v>
      </c>
      <c r="B136" s="11">
        <v>7</v>
      </c>
      <c r="C136" s="11" t="s">
        <v>135</v>
      </c>
      <c r="D136" s="11" t="s">
        <v>197</v>
      </c>
      <c r="E136" s="19">
        <v>-175000</v>
      </c>
      <c r="F136" t="s">
        <v>133</v>
      </c>
    </row>
    <row r="137" spans="1:6" x14ac:dyDescent="0.25">
      <c r="A137" s="11" t="s">
        <v>244</v>
      </c>
      <c r="B137" s="11">
        <v>7</v>
      </c>
      <c r="C137" s="11" t="s">
        <v>135</v>
      </c>
      <c r="D137" s="11" t="s">
        <v>216</v>
      </c>
      <c r="E137" s="19">
        <v>-19880</v>
      </c>
      <c r="F137" t="s">
        <v>133</v>
      </c>
    </row>
    <row r="138" spans="1:6" x14ac:dyDescent="0.25">
      <c r="A138" s="11" t="s">
        <v>244</v>
      </c>
      <c r="B138" s="11">
        <v>7</v>
      </c>
      <c r="C138" s="11" t="s">
        <v>135</v>
      </c>
      <c r="D138" s="11" t="s">
        <v>421</v>
      </c>
      <c r="E138" s="19">
        <v>1540000</v>
      </c>
      <c r="F138" t="s">
        <v>133</v>
      </c>
    </row>
    <row r="139" spans="1:6" x14ac:dyDescent="0.25">
      <c r="A139" s="11" t="s">
        <v>244</v>
      </c>
      <c r="B139" s="11">
        <v>7</v>
      </c>
      <c r="C139" s="11" t="s">
        <v>136</v>
      </c>
      <c r="D139" s="11" t="s">
        <v>334</v>
      </c>
      <c r="E139" s="19">
        <v>2630000</v>
      </c>
      <c r="F139" t="s">
        <v>133</v>
      </c>
    </row>
    <row r="140" spans="1:6" x14ac:dyDescent="0.25">
      <c r="A140" s="11" t="s">
        <v>244</v>
      </c>
      <c r="B140" s="11">
        <v>7</v>
      </c>
      <c r="C140" s="11" t="s">
        <v>136</v>
      </c>
      <c r="D140" s="11" t="s">
        <v>197</v>
      </c>
      <c r="E140" s="19">
        <v>-125000</v>
      </c>
      <c r="F140" t="s">
        <v>133</v>
      </c>
    </row>
    <row r="141" spans="1:6" x14ac:dyDescent="0.25">
      <c r="A141" s="11" t="s">
        <v>244</v>
      </c>
      <c r="B141" s="11">
        <v>7</v>
      </c>
      <c r="C141" s="11" t="s">
        <v>136</v>
      </c>
      <c r="D141" s="11" t="s">
        <v>216</v>
      </c>
      <c r="E141" s="19">
        <v>-14200</v>
      </c>
      <c r="F141" t="s">
        <v>133</v>
      </c>
    </row>
    <row r="142" spans="1:6" x14ac:dyDescent="0.25">
      <c r="A142" s="11" t="s">
        <v>244</v>
      </c>
      <c r="B142" s="11">
        <v>7</v>
      </c>
      <c r="C142" s="11" t="s">
        <v>136</v>
      </c>
      <c r="D142" s="11" t="s">
        <v>421</v>
      </c>
      <c r="E142" s="19">
        <v>1100000</v>
      </c>
      <c r="F142" t="s">
        <v>133</v>
      </c>
    </row>
    <row r="143" spans="1:6" x14ac:dyDescent="0.25">
      <c r="A143" s="11" t="s">
        <v>244</v>
      </c>
      <c r="B143" s="11">
        <v>7</v>
      </c>
      <c r="C143" s="11" t="s">
        <v>137</v>
      </c>
      <c r="D143" s="11" t="s">
        <v>334</v>
      </c>
      <c r="E143" s="19">
        <v>3156000</v>
      </c>
      <c r="F143" t="s">
        <v>133</v>
      </c>
    </row>
    <row r="144" spans="1:6" x14ac:dyDescent="0.25">
      <c r="A144" s="11" t="s">
        <v>244</v>
      </c>
      <c r="B144" s="11">
        <v>7</v>
      </c>
      <c r="C144" s="11" t="s">
        <v>137</v>
      </c>
      <c r="D144" s="11" t="s">
        <v>197</v>
      </c>
      <c r="E144" s="19">
        <v>-150000</v>
      </c>
      <c r="F144" t="s">
        <v>133</v>
      </c>
    </row>
    <row r="145" spans="1:6" x14ac:dyDescent="0.25">
      <c r="A145" s="11" t="s">
        <v>244</v>
      </c>
      <c r="B145" s="11">
        <v>7</v>
      </c>
      <c r="C145" s="11" t="s">
        <v>137</v>
      </c>
      <c r="D145" s="11" t="s">
        <v>216</v>
      </c>
      <c r="E145" s="19">
        <v>-17040</v>
      </c>
      <c r="F145" t="s">
        <v>133</v>
      </c>
    </row>
    <row r="146" spans="1:6" x14ac:dyDescent="0.25">
      <c r="A146" s="11" t="s">
        <v>244</v>
      </c>
      <c r="B146" s="11">
        <v>7</v>
      </c>
      <c r="C146" s="11" t="s">
        <v>137</v>
      </c>
      <c r="D146" s="11" t="s">
        <v>421</v>
      </c>
      <c r="E146" s="19">
        <v>1320000</v>
      </c>
      <c r="F146" t="s">
        <v>133</v>
      </c>
    </row>
    <row r="147" spans="1:6" x14ac:dyDescent="0.25">
      <c r="A147" s="11" t="s">
        <v>244</v>
      </c>
      <c r="B147" s="11">
        <v>7</v>
      </c>
      <c r="C147" s="11" t="s">
        <v>139</v>
      </c>
      <c r="D147" s="11" t="s">
        <v>334</v>
      </c>
      <c r="E147" s="19">
        <v>4208000</v>
      </c>
      <c r="F147" t="s">
        <v>133</v>
      </c>
    </row>
    <row r="148" spans="1:6" x14ac:dyDescent="0.25">
      <c r="A148" s="11" t="s">
        <v>244</v>
      </c>
      <c r="B148" s="11">
        <v>7</v>
      </c>
      <c r="C148" s="11" t="s">
        <v>139</v>
      </c>
      <c r="D148" s="11" t="s">
        <v>197</v>
      </c>
      <c r="E148" s="19">
        <v>-200000</v>
      </c>
      <c r="F148" t="s">
        <v>133</v>
      </c>
    </row>
    <row r="149" spans="1:6" x14ac:dyDescent="0.25">
      <c r="A149" s="11" t="s">
        <v>244</v>
      </c>
      <c r="B149" s="11">
        <v>7</v>
      </c>
      <c r="C149" s="11" t="s">
        <v>139</v>
      </c>
      <c r="D149" s="11" t="s">
        <v>216</v>
      </c>
      <c r="E149" s="19">
        <v>-22720</v>
      </c>
      <c r="F149" t="s">
        <v>133</v>
      </c>
    </row>
    <row r="150" spans="1:6" x14ac:dyDescent="0.25">
      <c r="A150" s="11" t="s">
        <v>244</v>
      </c>
      <c r="B150" s="11">
        <v>7</v>
      </c>
      <c r="C150" s="11" t="s">
        <v>139</v>
      </c>
      <c r="D150" s="11" t="s">
        <v>421</v>
      </c>
      <c r="E150" s="19">
        <v>1760000</v>
      </c>
      <c r="F150" t="s">
        <v>133</v>
      </c>
    </row>
    <row r="151" spans="1:6" x14ac:dyDescent="0.25">
      <c r="A151" s="11" t="s">
        <v>245</v>
      </c>
      <c r="B151" s="11">
        <v>8</v>
      </c>
      <c r="C151" s="11" t="s">
        <v>72</v>
      </c>
      <c r="D151" s="11" t="s">
        <v>334</v>
      </c>
      <c r="E151" s="19">
        <v>188000</v>
      </c>
      <c r="F151" t="s">
        <v>131</v>
      </c>
    </row>
    <row r="152" spans="1:6" x14ac:dyDescent="0.25">
      <c r="A152" s="11" t="s">
        <v>245</v>
      </c>
      <c r="B152" s="11">
        <v>8</v>
      </c>
      <c r="C152" s="11" t="s">
        <v>72</v>
      </c>
      <c r="D152" s="11" t="s">
        <v>216</v>
      </c>
      <c r="E152" s="19">
        <v>-2840</v>
      </c>
      <c r="F152" t="s">
        <v>131</v>
      </c>
    </row>
    <row r="153" spans="1:6" x14ac:dyDescent="0.25">
      <c r="A153" s="11" t="s">
        <v>245</v>
      </c>
      <c r="B153" s="11">
        <v>8</v>
      </c>
      <c r="C153" s="11" t="s">
        <v>132</v>
      </c>
      <c r="D153" s="11" t="s">
        <v>334</v>
      </c>
      <c r="E153" s="19">
        <v>2820000</v>
      </c>
      <c r="F153" t="s">
        <v>133</v>
      </c>
    </row>
    <row r="154" spans="1:6" x14ac:dyDescent="0.25">
      <c r="A154" s="11" t="s">
        <v>245</v>
      </c>
      <c r="B154" s="11">
        <v>8</v>
      </c>
      <c r="C154" s="11" t="s">
        <v>132</v>
      </c>
      <c r="D154" s="11" t="s">
        <v>197</v>
      </c>
      <c r="E154" s="19">
        <v>-375000</v>
      </c>
      <c r="F154" t="s">
        <v>133</v>
      </c>
    </row>
    <row r="155" spans="1:6" x14ac:dyDescent="0.25">
      <c r="A155" s="11" t="s">
        <v>245</v>
      </c>
      <c r="B155" s="11">
        <v>8</v>
      </c>
      <c r="C155" s="11" t="s">
        <v>132</v>
      </c>
      <c r="D155" s="11" t="s">
        <v>216</v>
      </c>
      <c r="E155" s="19">
        <v>-42600</v>
      </c>
      <c r="F155" t="s">
        <v>133</v>
      </c>
    </row>
    <row r="156" spans="1:6" x14ac:dyDescent="0.25">
      <c r="A156" s="11" t="s">
        <v>245</v>
      </c>
      <c r="B156" s="11">
        <v>8</v>
      </c>
      <c r="C156" s="11" t="s">
        <v>134</v>
      </c>
      <c r="D156" s="11" t="s">
        <v>334</v>
      </c>
      <c r="E156" s="19">
        <v>1504000</v>
      </c>
      <c r="F156" t="s">
        <v>133</v>
      </c>
    </row>
    <row r="157" spans="1:6" x14ac:dyDescent="0.25">
      <c r="A157" s="11" t="s">
        <v>245</v>
      </c>
      <c r="B157" s="11">
        <v>8</v>
      </c>
      <c r="C157" s="11" t="s">
        <v>134</v>
      </c>
      <c r="D157" s="11" t="s">
        <v>197</v>
      </c>
      <c r="E157" s="19">
        <v>-200000</v>
      </c>
      <c r="F157" t="s">
        <v>133</v>
      </c>
    </row>
    <row r="158" spans="1:6" x14ac:dyDescent="0.25">
      <c r="A158" s="11" t="s">
        <v>245</v>
      </c>
      <c r="B158" s="11">
        <v>8</v>
      </c>
      <c r="C158" s="11" t="s">
        <v>134</v>
      </c>
      <c r="D158" s="11" t="s">
        <v>216</v>
      </c>
      <c r="E158" s="19">
        <v>-22720</v>
      </c>
      <c r="F158" t="s">
        <v>133</v>
      </c>
    </row>
    <row r="159" spans="1:6" x14ac:dyDescent="0.25">
      <c r="A159" s="11" t="s">
        <v>245</v>
      </c>
      <c r="B159" s="11">
        <v>8</v>
      </c>
      <c r="C159" s="11" t="s">
        <v>135</v>
      </c>
      <c r="D159" s="11" t="s">
        <v>334</v>
      </c>
      <c r="E159" s="19">
        <v>1316000</v>
      </c>
      <c r="F159" t="s">
        <v>133</v>
      </c>
    </row>
    <row r="160" spans="1:6" x14ac:dyDescent="0.25">
      <c r="A160" s="11" t="s">
        <v>245</v>
      </c>
      <c r="B160" s="11">
        <v>8</v>
      </c>
      <c r="C160" s="11" t="s">
        <v>135</v>
      </c>
      <c r="D160" s="11" t="s">
        <v>197</v>
      </c>
      <c r="E160" s="19">
        <v>-175000</v>
      </c>
      <c r="F160" t="s">
        <v>133</v>
      </c>
    </row>
    <row r="161" spans="1:6" x14ac:dyDescent="0.25">
      <c r="A161" s="11" t="s">
        <v>245</v>
      </c>
      <c r="B161" s="11">
        <v>8</v>
      </c>
      <c r="C161" s="11" t="s">
        <v>135</v>
      </c>
      <c r="D161" s="11" t="s">
        <v>216</v>
      </c>
      <c r="E161" s="19">
        <v>-19880</v>
      </c>
      <c r="F161" t="s">
        <v>133</v>
      </c>
    </row>
    <row r="162" spans="1:6" x14ac:dyDescent="0.25">
      <c r="A162" s="11" t="s">
        <v>245</v>
      </c>
      <c r="B162" s="11">
        <v>8</v>
      </c>
      <c r="C162" s="11" t="s">
        <v>136</v>
      </c>
      <c r="D162" s="11" t="s">
        <v>334</v>
      </c>
      <c r="E162" s="19">
        <v>940000</v>
      </c>
      <c r="F162" t="s">
        <v>133</v>
      </c>
    </row>
    <row r="163" spans="1:6" x14ac:dyDescent="0.25">
      <c r="A163" s="11" t="s">
        <v>245</v>
      </c>
      <c r="B163" s="11">
        <v>8</v>
      </c>
      <c r="C163" s="11" t="s">
        <v>136</v>
      </c>
      <c r="D163" s="11" t="s">
        <v>197</v>
      </c>
      <c r="E163" s="19">
        <v>-125000</v>
      </c>
      <c r="F163" t="s">
        <v>133</v>
      </c>
    </row>
    <row r="164" spans="1:6" x14ac:dyDescent="0.25">
      <c r="A164" s="11" t="s">
        <v>245</v>
      </c>
      <c r="B164" s="11">
        <v>8</v>
      </c>
      <c r="C164" s="11" t="s">
        <v>136</v>
      </c>
      <c r="D164" s="11" t="s">
        <v>216</v>
      </c>
      <c r="E164" s="19">
        <v>-14200</v>
      </c>
      <c r="F164" t="s">
        <v>133</v>
      </c>
    </row>
    <row r="165" spans="1:6" x14ac:dyDescent="0.25">
      <c r="A165" s="11" t="s">
        <v>245</v>
      </c>
      <c r="B165" s="11">
        <v>8</v>
      </c>
      <c r="C165" s="11" t="s">
        <v>137</v>
      </c>
      <c r="D165" s="11" t="s">
        <v>334</v>
      </c>
      <c r="E165" s="19">
        <v>1128000</v>
      </c>
      <c r="F165" t="s">
        <v>133</v>
      </c>
    </row>
    <row r="166" spans="1:6" x14ac:dyDescent="0.25">
      <c r="A166" s="11" t="s">
        <v>245</v>
      </c>
      <c r="B166" s="11">
        <v>8</v>
      </c>
      <c r="C166" s="11" t="s">
        <v>137</v>
      </c>
      <c r="D166" s="11" t="s">
        <v>197</v>
      </c>
      <c r="E166" s="19">
        <v>-150000</v>
      </c>
      <c r="F166" t="s">
        <v>133</v>
      </c>
    </row>
    <row r="167" spans="1:6" x14ac:dyDescent="0.25">
      <c r="A167" s="11" t="s">
        <v>245</v>
      </c>
      <c r="B167" s="11">
        <v>8</v>
      </c>
      <c r="C167" s="11" t="s">
        <v>137</v>
      </c>
      <c r="D167" s="11" t="s">
        <v>216</v>
      </c>
      <c r="E167" s="19">
        <v>-17040</v>
      </c>
      <c r="F167" t="s">
        <v>133</v>
      </c>
    </row>
    <row r="168" spans="1:6" x14ac:dyDescent="0.25">
      <c r="A168" s="11" t="s">
        <v>245</v>
      </c>
      <c r="B168" s="11">
        <v>8</v>
      </c>
      <c r="C168" s="11" t="s">
        <v>139</v>
      </c>
      <c r="D168" s="11" t="s">
        <v>334</v>
      </c>
      <c r="E168" s="19">
        <v>1504000</v>
      </c>
      <c r="F168" t="s">
        <v>133</v>
      </c>
    </row>
    <row r="169" spans="1:6" x14ac:dyDescent="0.25">
      <c r="A169" s="11" t="s">
        <v>245</v>
      </c>
      <c r="B169" s="11">
        <v>8</v>
      </c>
      <c r="C169" s="11" t="s">
        <v>139</v>
      </c>
      <c r="D169" s="11" t="s">
        <v>197</v>
      </c>
      <c r="E169" s="19">
        <v>-200000</v>
      </c>
      <c r="F169" t="s">
        <v>133</v>
      </c>
    </row>
    <row r="170" spans="1:6" x14ac:dyDescent="0.25">
      <c r="A170" s="11" t="s">
        <v>245</v>
      </c>
      <c r="B170" s="11">
        <v>8</v>
      </c>
      <c r="C170" s="11" t="s">
        <v>139</v>
      </c>
      <c r="D170" s="11" t="s">
        <v>216</v>
      </c>
      <c r="E170" s="19">
        <v>-22720</v>
      </c>
      <c r="F170" t="s">
        <v>133</v>
      </c>
    </row>
    <row r="171" spans="1:6" x14ac:dyDescent="0.25">
      <c r="A171" s="11" t="s">
        <v>247</v>
      </c>
      <c r="B171" s="11">
        <v>9</v>
      </c>
      <c r="C171" s="11" t="s">
        <v>72</v>
      </c>
      <c r="D171" s="11" t="s">
        <v>334</v>
      </c>
      <c r="E171" s="19">
        <v>268000</v>
      </c>
      <c r="F171" t="s">
        <v>131</v>
      </c>
    </row>
    <row r="172" spans="1:6" x14ac:dyDescent="0.25">
      <c r="A172" s="11" t="s">
        <v>247</v>
      </c>
      <c r="B172" s="11">
        <v>9</v>
      </c>
      <c r="C172" s="11" t="s">
        <v>72</v>
      </c>
      <c r="D172" s="11" t="s">
        <v>216</v>
      </c>
      <c r="E172" s="19">
        <v>-2840</v>
      </c>
      <c r="F172" t="s">
        <v>131</v>
      </c>
    </row>
    <row r="173" spans="1:6" x14ac:dyDescent="0.25">
      <c r="A173" s="11" t="s">
        <v>247</v>
      </c>
      <c r="B173" s="11">
        <v>9</v>
      </c>
      <c r="C173" s="11" t="s">
        <v>132</v>
      </c>
      <c r="D173" s="11" t="s">
        <v>334</v>
      </c>
      <c r="E173" s="19">
        <v>4020000</v>
      </c>
      <c r="F173" t="s">
        <v>133</v>
      </c>
    </row>
    <row r="174" spans="1:6" x14ac:dyDescent="0.25">
      <c r="A174" s="11" t="s">
        <v>247</v>
      </c>
      <c r="B174" s="11">
        <v>9</v>
      </c>
      <c r="C174" s="11" t="s">
        <v>132</v>
      </c>
      <c r="D174" s="11" t="s">
        <v>197</v>
      </c>
      <c r="E174" s="19">
        <v>-375000</v>
      </c>
      <c r="F174" t="s">
        <v>133</v>
      </c>
    </row>
    <row r="175" spans="1:6" x14ac:dyDescent="0.25">
      <c r="A175" s="11" t="s">
        <v>247</v>
      </c>
      <c r="B175" s="11">
        <v>9</v>
      </c>
      <c r="C175" s="11" t="s">
        <v>132</v>
      </c>
      <c r="D175" s="11" t="s">
        <v>216</v>
      </c>
      <c r="E175" s="19">
        <v>-42600</v>
      </c>
      <c r="F175" t="s">
        <v>133</v>
      </c>
    </row>
    <row r="176" spans="1:6" x14ac:dyDescent="0.25">
      <c r="A176" s="11" t="s">
        <v>247</v>
      </c>
      <c r="B176" s="11">
        <v>9</v>
      </c>
      <c r="C176" s="11" t="s">
        <v>134</v>
      </c>
      <c r="D176" s="11" t="s">
        <v>334</v>
      </c>
      <c r="E176" s="19">
        <v>2144000</v>
      </c>
      <c r="F176" t="s">
        <v>133</v>
      </c>
    </row>
    <row r="177" spans="1:6" x14ac:dyDescent="0.25">
      <c r="A177" s="11" t="s">
        <v>247</v>
      </c>
      <c r="B177" s="11">
        <v>9</v>
      </c>
      <c r="C177" s="11" t="s">
        <v>134</v>
      </c>
      <c r="D177" s="11" t="s">
        <v>197</v>
      </c>
      <c r="E177" s="19">
        <v>-200000</v>
      </c>
      <c r="F177" t="s">
        <v>133</v>
      </c>
    </row>
    <row r="178" spans="1:6" x14ac:dyDescent="0.25">
      <c r="A178" s="11" t="s">
        <v>247</v>
      </c>
      <c r="B178" s="11">
        <v>9</v>
      </c>
      <c r="C178" s="11" t="s">
        <v>134</v>
      </c>
      <c r="D178" s="11" t="s">
        <v>216</v>
      </c>
      <c r="E178" s="19">
        <v>-22720</v>
      </c>
      <c r="F178" t="s">
        <v>133</v>
      </c>
    </row>
    <row r="179" spans="1:6" x14ac:dyDescent="0.25">
      <c r="A179" s="11" t="s">
        <v>247</v>
      </c>
      <c r="B179" s="11">
        <v>9</v>
      </c>
      <c r="C179" s="11" t="s">
        <v>135</v>
      </c>
      <c r="D179" s="11" t="s">
        <v>334</v>
      </c>
      <c r="E179" s="19">
        <v>1876000</v>
      </c>
      <c r="F179" t="s">
        <v>133</v>
      </c>
    </row>
    <row r="180" spans="1:6" x14ac:dyDescent="0.25">
      <c r="A180" s="11" t="s">
        <v>247</v>
      </c>
      <c r="B180" s="11">
        <v>9</v>
      </c>
      <c r="C180" s="11" t="s">
        <v>135</v>
      </c>
      <c r="D180" s="11" t="s">
        <v>197</v>
      </c>
      <c r="E180" s="19">
        <v>-175000</v>
      </c>
      <c r="F180" t="s">
        <v>133</v>
      </c>
    </row>
    <row r="181" spans="1:6" x14ac:dyDescent="0.25">
      <c r="A181" s="11" t="s">
        <v>247</v>
      </c>
      <c r="B181" s="11">
        <v>9</v>
      </c>
      <c r="C181" s="11" t="s">
        <v>135</v>
      </c>
      <c r="D181" s="11" t="s">
        <v>216</v>
      </c>
      <c r="E181" s="19">
        <v>-19880</v>
      </c>
      <c r="F181" t="s">
        <v>133</v>
      </c>
    </row>
    <row r="182" spans="1:6" x14ac:dyDescent="0.25">
      <c r="A182" s="11" t="s">
        <v>247</v>
      </c>
      <c r="B182" s="11">
        <v>9</v>
      </c>
      <c r="C182" s="11" t="s">
        <v>136</v>
      </c>
      <c r="D182" s="11" t="s">
        <v>334</v>
      </c>
      <c r="E182" s="19">
        <v>1340000</v>
      </c>
      <c r="F182" t="s">
        <v>133</v>
      </c>
    </row>
    <row r="183" spans="1:6" x14ac:dyDescent="0.25">
      <c r="A183" s="11" t="s">
        <v>247</v>
      </c>
      <c r="B183" s="11">
        <v>9</v>
      </c>
      <c r="C183" s="11" t="s">
        <v>136</v>
      </c>
      <c r="D183" s="11" t="s">
        <v>197</v>
      </c>
      <c r="E183" s="19">
        <v>-125000</v>
      </c>
      <c r="F183" t="s">
        <v>133</v>
      </c>
    </row>
    <row r="184" spans="1:6" x14ac:dyDescent="0.25">
      <c r="A184" s="11" t="s">
        <v>247</v>
      </c>
      <c r="B184" s="11">
        <v>9</v>
      </c>
      <c r="C184" s="11" t="s">
        <v>136</v>
      </c>
      <c r="D184" s="11" t="s">
        <v>216</v>
      </c>
      <c r="E184" s="19">
        <v>-14200</v>
      </c>
      <c r="F184" t="s">
        <v>133</v>
      </c>
    </row>
    <row r="185" spans="1:6" x14ac:dyDescent="0.25">
      <c r="A185" s="11" t="s">
        <v>247</v>
      </c>
      <c r="B185" s="11">
        <v>9</v>
      </c>
      <c r="C185" s="11" t="s">
        <v>137</v>
      </c>
      <c r="D185" s="11" t="s">
        <v>334</v>
      </c>
      <c r="E185" s="19">
        <v>1608000</v>
      </c>
      <c r="F185" t="s">
        <v>133</v>
      </c>
    </row>
    <row r="186" spans="1:6" x14ac:dyDescent="0.25">
      <c r="A186" s="11" t="s">
        <v>247</v>
      </c>
      <c r="B186" s="11">
        <v>9</v>
      </c>
      <c r="C186" s="11" t="s">
        <v>137</v>
      </c>
      <c r="D186" s="11" t="s">
        <v>197</v>
      </c>
      <c r="E186" s="19">
        <v>-150000</v>
      </c>
      <c r="F186" t="s">
        <v>133</v>
      </c>
    </row>
    <row r="187" spans="1:6" x14ac:dyDescent="0.25">
      <c r="A187" s="11" t="s">
        <v>247</v>
      </c>
      <c r="B187" s="11">
        <v>9</v>
      </c>
      <c r="C187" s="11" t="s">
        <v>137</v>
      </c>
      <c r="D187" s="11" t="s">
        <v>216</v>
      </c>
      <c r="E187" s="19">
        <v>-17040</v>
      </c>
      <c r="F187" t="s">
        <v>133</v>
      </c>
    </row>
    <row r="188" spans="1:6" x14ac:dyDescent="0.25">
      <c r="A188" s="11" t="s">
        <v>247</v>
      </c>
      <c r="B188" s="11">
        <v>9</v>
      </c>
      <c r="C188" s="11" t="s">
        <v>139</v>
      </c>
      <c r="D188" s="11" t="s">
        <v>334</v>
      </c>
      <c r="E188" s="19">
        <v>2144000</v>
      </c>
      <c r="F188" t="s">
        <v>133</v>
      </c>
    </row>
    <row r="189" spans="1:6" x14ac:dyDescent="0.25">
      <c r="A189" s="11" t="s">
        <v>247</v>
      </c>
      <c r="B189" s="11">
        <v>9</v>
      </c>
      <c r="C189" s="11" t="s">
        <v>139</v>
      </c>
      <c r="D189" s="11" t="s">
        <v>197</v>
      </c>
      <c r="E189" s="19">
        <v>-200000</v>
      </c>
      <c r="F189" t="s">
        <v>133</v>
      </c>
    </row>
    <row r="190" spans="1:6" x14ac:dyDescent="0.25">
      <c r="A190" s="11" t="s">
        <v>247</v>
      </c>
      <c r="B190" s="11">
        <v>9</v>
      </c>
      <c r="C190" s="11" t="s">
        <v>139</v>
      </c>
      <c r="D190" s="11" t="s">
        <v>216</v>
      </c>
      <c r="E190" s="19">
        <v>-22720</v>
      </c>
      <c r="F190" t="s">
        <v>133</v>
      </c>
    </row>
    <row r="191" spans="1:6" x14ac:dyDescent="0.25">
      <c r="A191" s="11" t="s">
        <v>248</v>
      </c>
      <c r="B191" s="11">
        <v>10</v>
      </c>
      <c r="C191" s="11" t="s">
        <v>72</v>
      </c>
      <c r="D191" s="11" t="s">
        <v>334</v>
      </c>
      <c r="E191" s="19">
        <v>586000</v>
      </c>
      <c r="F191" t="s">
        <v>131</v>
      </c>
    </row>
    <row r="192" spans="1:6" x14ac:dyDescent="0.25">
      <c r="A192" s="11" t="s">
        <v>248</v>
      </c>
      <c r="B192" s="11">
        <v>10</v>
      </c>
      <c r="C192" s="11" t="s">
        <v>72</v>
      </c>
      <c r="D192" s="11" t="s">
        <v>216</v>
      </c>
      <c r="E192" s="19">
        <v>-2840</v>
      </c>
      <c r="F192" t="s">
        <v>131</v>
      </c>
    </row>
    <row r="193" spans="1:6" x14ac:dyDescent="0.25">
      <c r="A193" s="11" t="s">
        <v>248</v>
      </c>
      <c r="B193" s="11">
        <v>10</v>
      </c>
      <c r="C193" s="11" t="s">
        <v>132</v>
      </c>
      <c r="D193" s="11" t="s">
        <v>334</v>
      </c>
      <c r="E193" s="19">
        <v>8790000</v>
      </c>
      <c r="F193" t="s">
        <v>133</v>
      </c>
    </row>
    <row r="194" spans="1:6" x14ac:dyDescent="0.25">
      <c r="A194" s="11" t="s">
        <v>248</v>
      </c>
      <c r="B194" s="11">
        <v>10</v>
      </c>
      <c r="C194" s="11" t="s">
        <v>132</v>
      </c>
      <c r="D194" s="11" t="s">
        <v>197</v>
      </c>
      <c r="E194" s="19">
        <v>-375000</v>
      </c>
      <c r="F194" t="s">
        <v>133</v>
      </c>
    </row>
    <row r="195" spans="1:6" x14ac:dyDescent="0.25">
      <c r="A195" s="11" t="s">
        <v>248</v>
      </c>
      <c r="B195" s="11">
        <v>10</v>
      </c>
      <c r="C195" s="11" t="s">
        <v>132</v>
      </c>
      <c r="D195" s="11" t="s">
        <v>216</v>
      </c>
      <c r="E195" s="19">
        <v>-42600</v>
      </c>
      <c r="F195" t="s">
        <v>133</v>
      </c>
    </row>
    <row r="196" spans="1:6" x14ac:dyDescent="0.25">
      <c r="A196" s="11" t="s">
        <v>248</v>
      </c>
      <c r="B196" s="11">
        <v>10</v>
      </c>
      <c r="C196" s="11" t="s">
        <v>134</v>
      </c>
      <c r="D196" s="11" t="s">
        <v>334</v>
      </c>
      <c r="E196" s="19">
        <v>4688000</v>
      </c>
      <c r="F196" t="s">
        <v>133</v>
      </c>
    </row>
    <row r="197" spans="1:6" x14ac:dyDescent="0.25">
      <c r="A197" s="11" t="s">
        <v>248</v>
      </c>
      <c r="B197" s="11">
        <v>10</v>
      </c>
      <c r="C197" s="11" t="s">
        <v>134</v>
      </c>
      <c r="D197" s="11" t="s">
        <v>197</v>
      </c>
      <c r="E197" s="19">
        <v>-200000</v>
      </c>
      <c r="F197" t="s">
        <v>133</v>
      </c>
    </row>
    <row r="198" spans="1:6" x14ac:dyDescent="0.25">
      <c r="A198" s="11" t="s">
        <v>248</v>
      </c>
      <c r="B198" s="11">
        <v>10</v>
      </c>
      <c r="C198" s="11" t="s">
        <v>134</v>
      </c>
      <c r="D198" s="11" t="s">
        <v>216</v>
      </c>
      <c r="E198" s="19">
        <v>-22720</v>
      </c>
      <c r="F198" t="s">
        <v>133</v>
      </c>
    </row>
    <row r="199" spans="1:6" x14ac:dyDescent="0.25">
      <c r="A199" s="11" t="s">
        <v>248</v>
      </c>
      <c r="B199" s="11">
        <v>10</v>
      </c>
      <c r="C199" s="11" t="s">
        <v>135</v>
      </c>
      <c r="D199" s="11" t="s">
        <v>334</v>
      </c>
      <c r="E199" s="19">
        <v>4102000</v>
      </c>
      <c r="F199" t="s">
        <v>133</v>
      </c>
    </row>
    <row r="200" spans="1:6" x14ac:dyDescent="0.25">
      <c r="A200" s="11" t="s">
        <v>248</v>
      </c>
      <c r="B200" s="11">
        <v>10</v>
      </c>
      <c r="C200" s="11" t="s">
        <v>135</v>
      </c>
      <c r="D200" s="11" t="s">
        <v>197</v>
      </c>
      <c r="E200" s="19">
        <v>-175000</v>
      </c>
      <c r="F200" t="s">
        <v>133</v>
      </c>
    </row>
    <row r="201" spans="1:6" x14ac:dyDescent="0.25">
      <c r="A201" s="11" t="s">
        <v>248</v>
      </c>
      <c r="B201" s="11">
        <v>10</v>
      </c>
      <c r="C201" s="11" t="s">
        <v>135</v>
      </c>
      <c r="D201" s="11" t="s">
        <v>216</v>
      </c>
      <c r="E201" s="19">
        <v>-19880</v>
      </c>
      <c r="F201" t="s">
        <v>133</v>
      </c>
    </row>
    <row r="202" spans="1:6" x14ac:dyDescent="0.25">
      <c r="A202" s="11" t="s">
        <v>248</v>
      </c>
      <c r="B202" s="11">
        <v>10</v>
      </c>
      <c r="C202" s="11" t="s">
        <v>136</v>
      </c>
      <c r="D202" s="11" t="s">
        <v>334</v>
      </c>
      <c r="E202" s="19">
        <v>2930000</v>
      </c>
      <c r="F202" t="s">
        <v>133</v>
      </c>
    </row>
    <row r="203" spans="1:6" x14ac:dyDescent="0.25">
      <c r="A203" s="11" t="s">
        <v>248</v>
      </c>
      <c r="B203" s="11">
        <v>10</v>
      </c>
      <c r="C203" s="11" t="s">
        <v>136</v>
      </c>
      <c r="D203" s="11" t="s">
        <v>197</v>
      </c>
      <c r="E203" s="19">
        <v>-125000</v>
      </c>
      <c r="F203" t="s">
        <v>133</v>
      </c>
    </row>
    <row r="204" spans="1:6" x14ac:dyDescent="0.25">
      <c r="A204" s="11" t="s">
        <v>248</v>
      </c>
      <c r="B204" s="11">
        <v>10</v>
      </c>
      <c r="C204" s="11" t="s">
        <v>136</v>
      </c>
      <c r="D204" s="11" t="s">
        <v>216</v>
      </c>
      <c r="E204" s="19">
        <v>-14200</v>
      </c>
      <c r="F204" t="s">
        <v>133</v>
      </c>
    </row>
    <row r="205" spans="1:6" x14ac:dyDescent="0.25">
      <c r="A205" s="11" t="s">
        <v>248</v>
      </c>
      <c r="B205" s="11">
        <v>10</v>
      </c>
      <c r="C205" s="11" t="s">
        <v>137</v>
      </c>
      <c r="D205" s="11" t="s">
        <v>334</v>
      </c>
      <c r="E205" s="19">
        <v>3516000</v>
      </c>
      <c r="F205" t="s">
        <v>133</v>
      </c>
    </row>
    <row r="206" spans="1:6" x14ac:dyDescent="0.25">
      <c r="A206" s="11" t="s">
        <v>248</v>
      </c>
      <c r="B206" s="11">
        <v>10</v>
      </c>
      <c r="C206" s="11" t="s">
        <v>137</v>
      </c>
      <c r="D206" s="11" t="s">
        <v>197</v>
      </c>
      <c r="E206" s="19">
        <v>-150000</v>
      </c>
      <c r="F206" t="s">
        <v>133</v>
      </c>
    </row>
    <row r="207" spans="1:6" x14ac:dyDescent="0.25">
      <c r="A207" s="11" t="s">
        <v>248</v>
      </c>
      <c r="B207" s="11">
        <v>10</v>
      </c>
      <c r="C207" s="11" t="s">
        <v>137</v>
      </c>
      <c r="D207" s="11" t="s">
        <v>216</v>
      </c>
      <c r="E207" s="19">
        <v>-17040</v>
      </c>
      <c r="F207" t="s">
        <v>133</v>
      </c>
    </row>
    <row r="208" spans="1:6" x14ac:dyDescent="0.25">
      <c r="A208" s="11" t="s">
        <v>248</v>
      </c>
      <c r="B208" s="11">
        <v>10</v>
      </c>
      <c r="C208" s="11" t="s">
        <v>139</v>
      </c>
      <c r="D208" s="11" t="s">
        <v>334</v>
      </c>
      <c r="E208" s="19">
        <v>4688000</v>
      </c>
      <c r="F208" t="s">
        <v>133</v>
      </c>
    </row>
    <row r="209" spans="1:6" x14ac:dyDescent="0.25">
      <c r="A209" s="11" t="s">
        <v>248</v>
      </c>
      <c r="B209" s="11">
        <v>10</v>
      </c>
      <c r="C209" s="11" t="s">
        <v>139</v>
      </c>
      <c r="D209" s="11" t="s">
        <v>197</v>
      </c>
      <c r="E209" s="19">
        <v>-200000</v>
      </c>
      <c r="F209" t="s">
        <v>133</v>
      </c>
    </row>
    <row r="210" spans="1:6" x14ac:dyDescent="0.25">
      <c r="A210" s="11" t="s">
        <v>248</v>
      </c>
      <c r="B210" s="11">
        <v>10</v>
      </c>
      <c r="C210" s="11" t="s">
        <v>139</v>
      </c>
      <c r="D210" s="11" t="s">
        <v>216</v>
      </c>
      <c r="E210" s="19">
        <v>-22720</v>
      </c>
      <c r="F210" t="s">
        <v>133</v>
      </c>
    </row>
    <row r="211" spans="1:6" x14ac:dyDescent="0.25">
      <c r="A211" s="11" t="s">
        <v>249</v>
      </c>
      <c r="B211" s="11">
        <v>11</v>
      </c>
      <c r="C211" s="11" t="s">
        <v>72</v>
      </c>
      <c r="D211" s="11" t="s">
        <v>334</v>
      </c>
      <c r="E211" s="19">
        <v>56000</v>
      </c>
      <c r="F211" t="s">
        <v>131</v>
      </c>
    </row>
    <row r="212" spans="1:6" x14ac:dyDescent="0.25">
      <c r="A212" s="11" t="s">
        <v>249</v>
      </c>
      <c r="B212" s="11">
        <v>11</v>
      </c>
      <c r="C212" s="11" t="s">
        <v>72</v>
      </c>
      <c r="D212" s="11" t="s">
        <v>216</v>
      </c>
      <c r="E212" s="19">
        <v>-2840</v>
      </c>
      <c r="F212" t="s">
        <v>131</v>
      </c>
    </row>
    <row r="213" spans="1:6" x14ac:dyDescent="0.25">
      <c r="A213" s="11" t="s">
        <v>249</v>
      </c>
      <c r="B213" s="11">
        <v>11</v>
      </c>
      <c r="C213" s="11" t="s">
        <v>72</v>
      </c>
      <c r="D213" s="11" t="s">
        <v>421</v>
      </c>
      <c r="E213" s="19">
        <v>600000</v>
      </c>
      <c r="F213" t="s">
        <v>131</v>
      </c>
    </row>
    <row r="214" spans="1:6" x14ac:dyDescent="0.25">
      <c r="A214" s="11" t="s">
        <v>249</v>
      </c>
      <c r="B214" s="11">
        <v>11</v>
      </c>
      <c r="C214" s="11" t="s">
        <v>132</v>
      </c>
      <c r="D214" s="11" t="s">
        <v>334</v>
      </c>
      <c r="E214" s="19">
        <v>840000</v>
      </c>
      <c r="F214" t="s">
        <v>133</v>
      </c>
    </row>
    <row r="215" spans="1:6" x14ac:dyDescent="0.25">
      <c r="A215" s="11" t="s">
        <v>249</v>
      </c>
      <c r="B215" s="11">
        <v>11</v>
      </c>
      <c r="C215" s="11" t="s">
        <v>132</v>
      </c>
      <c r="D215" s="11" t="s">
        <v>197</v>
      </c>
      <c r="E215" s="19">
        <v>-267857.14</v>
      </c>
      <c r="F215" t="s">
        <v>133</v>
      </c>
    </row>
    <row r="216" spans="1:6" x14ac:dyDescent="0.25">
      <c r="A216" s="11" t="s">
        <v>249</v>
      </c>
      <c r="B216" s="11">
        <v>11</v>
      </c>
      <c r="C216" s="11" t="s">
        <v>132</v>
      </c>
      <c r="D216" s="11" t="s">
        <v>216</v>
      </c>
      <c r="E216" s="19">
        <v>-42600</v>
      </c>
      <c r="F216" t="s">
        <v>133</v>
      </c>
    </row>
    <row r="217" spans="1:6" x14ac:dyDescent="0.25">
      <c r="A217" s="11" t="s">
        <v>249</v>
      </c>
      <c r="B217" s="11">
        <v>11</v>
      </c>
      <c r="C217" s="11" t="s">
        <v>132</v>
      </c>
      <c r="D217" s="11" t="s">
        <v>421</v>
      </c>
      <c r="E217" s="19">
        <v>9000000</v>
      </c>
      <c r="F217" t="s">
        <v>133</v>
      </c>
    </row>
    <row r="218" spans="1:6" x14ac:dyDescent="0.25">
      <c r="A218" s="11" t="s">
        <v>249</v>
      </c>
      <c r="B218" s="11">
        <v>11</v>
      </c>
      <c r="C218" s="11" t="s">
        <v>134</v>
      </c>
      <c r="D218" s="11" t="s">
        <v>334</v>
      </c>
      <c r="E218" s="19">
        <v>448000</v>
      </c>
      <c r="F218" t="s">
        <v>133</v>
      </c>
    </row>
    <row r="219" spans="1:6" x14ac:dyDescent="0.25">
      <c r="A219" s="11" t="s">
        <v>249</v>
      </c>
      <c r="B219" s="11">
        <v>11</v>
      </c>
      <c r="C219" s="11" t="s">
        <v>134</v>
      </c>
      <c r="D219" s="11" t="s">
        <v>197</v>
      </c>
      <c r="E219" s="19">
        <v>-142857.14000000001</v>
      </c>
      <c r="F219" t="s">
        <v>133</v>
      </c>
    </row>
    <row r="220" spans="1:6" x14ac:dyDescent="0.25">
      <c r="A220" s="11" t="s">
        <v>249</v>
      </c>
      <c r="B220" s="11">
        <v>11</v>
      </c>
      <c r="C220" s="11" t="s">
        <v>134</v>
      </c>
      <c r="D220" s="11" t="s">
        <v>216</v>
      </c>
      <c r="E220" s="19">
        <v>-22720</v>
      </c>
      <c r="F220" t="s">
        <v>133</v>
      </c>
    </row>
    <row r="221" spans="1:6" x14ac:dyDescent="0.25">
      <c r="A221" s="11" t="s">
        <v>249</v>
      </c>
      <c r="B221" s="11">
        <v>11</v>
      </c>
      <c r="C221" s="11" t="s">
        <v>134</v>
      </c>
      <c r="D221" s="11" t="s">
        <v>421</v>
      </c>
      <c r="E221" s="19">
        <v>4800000</v>
      </c>
      <c r="F221" t="s">
        <v>133</v>
      </c>
    </row>
    <row r="222" spans="1:6" x14ac:dyDescent="0.25">
      <c r="A222" s="11" t="s">
        <v>249</v>
      </c>
      <c r="B222" s="11">
        <v>11</v>
      </c>
      <c r="C222" s="11" t="s">
        <v>135</v>
      </c>
      <c r="D222" s="11" t="s">
        <v>334</v>
      </c>
      <c r="E222" s="19">
        <v>392000</v>
      </c>
      <c r="F222" t="s">
        <v>133</v>
      </c>
    </row>
    <row r="223" spans="1:6" x14ac:dyDescent="0.25">
      <c r="A223" s="11" t="s">
        <v>249</v>
      </c>
      <c r="B223" s="11">
        <v>11</v>
      </c>
      <c r="C223" s="11" t="s">
        <v>135</v>
      </c>
      <c r="D223" s="11" t="s">
        <v>197</v>
      </c>
      <c r="E223" s="19">
        <v>-125000</v>
      </c>
      <c r="F223" t="s">
        <v>133</v>
      </c>
    </row>
    <row r="224" spans="1:6" x14ac:dyDescent="0.25">
      <c r="A224" s="11" t="s">
        <v>249</v>
      </c>
      <c r="B224" s="11">
        <v>11</v>
      </c>
      <c r="C224" s="11" t="s">
        <v>135</v>
      </c>
      <c r="D224" s="11" t="s">
        <v>216</v>
      </c>
      <c r="E224" s="19">
        <v>-19880</v>
      </c>
      <c r="F224" t="s">
        <v>133</v>
      </c>
    </row>
    <row r="225" spans="1:6" x14ac:dyDescent="0.25">
      <c r="A225" s="11" t="s">
        <v>249</v>
      </c>
      <c r="B225" s="11">
        <v>11</v>
      </c>
      <c r="C225" s="11" t="s">
        <v>135</v>
      </c>
      <c r="D225" s="11" t="s">
        <v>421</v>
      </c>
      <c r="E225" s="19">
        <v>4200000</v>
      </c>
      <c r="F225" t="s">
        <v>133</v>
      </c>
    </row>
    <row r="226" spans="1:6" x14ac:dyDescent="0.25">
      <c r="A226" s="11" t="s">
        <v>249</v>
      </c>
      <c r="B226" s="11">
        <v>11</v>
      </c>
      <c r="C226" s="11" t="s">
        <v>136</v>
      </c>
      <c r="D226" s="11" t="s">
        <v>334</v>
      </c>
      <c r="E226" s="19">
        <v>280000</v>
      </c>
      <c r="F226" t="s">
        <v>133</v>
      </c>
    </row>
    <row r="227" spans="1:6" x14ac:dyDescent="0.25">
      <c r="A227" s="11" t="s">
        <v>249</v>
      </c>
      <c r="B227" s="11">
        <v>11</v>
      </c>
      <c r="C227" s="11" t="s">
        <v>136</v>
      </c>
      <c r="D227" s="11" t="s">
        <v>197</v>
      </c>
      <c r="E227" s="19">
        <v>-89285.71</v>
      </c>
      <c r="F227" t="s">
        <v>133</v>
      </c>
    </row>
    <row r="228" spans="1:6" x14ac:dyDescent="0.25">
      <c r="A228" s="11" t="s">
        <v>249</v>
      </c>
      <c r="B228" s="11">
        <v>11</v>
      </c>
      <c r="C228" s="11" t="s">
        <v>136</v>
      </c>
      <c r="D228" s="11" t="s">
        <v>216</v>
      </c>
      <c r="E228" s="19">
        <v>-14200</v>
      </c>
      <c r="F228" t="s">
        <v>133</v>
      </c>
    </row>
    <row r="229" spans="1:6" x14ac:dyDescent="0.25">
      <c r="A229" s="11" t="s">
        <v>249</v>
      </c>
      <c r="B229" s="11">
        <v>11</v>
      </c>
      <c r="C229" s="11" t="s">
        <v>136</v>
      </c>
      <c r="D229" s="11" t="s">
        <v>421</v>
      </c>
      <c r="E229" s="19">
        <v>3000000</v>
      </c>
      <c r="F229" t="s">
        <v>133</v>
      </c>
    </row>
    <row r="230" spans="1:6" x14ac:dyDescent="0.25">
      <c r="A230" s="11" t="s">
        <v>249</v>
      </c>
      <c r="B230" s="11">
        <v>11</v>
      </c>
      <c r="C230" s="11" t="s">
        <v>137</v>
      </c>
      <c r="D230" s="11" t="s">
        <v>334</v>
      </c>
      <c r="E230" s="19">
        <v>336000</v>
      </c>
      <c r="F230" t="s">
        <v>133</v>
      </c>
    </row>
    <row r="231" spans="1:6" x14ac:dyDescent="0.25">
      <c r="A231" s="11" t="s">
        <v>249</v>
      </c>
      <c r="B231" s="11">
        <v>11</v>
      </c>
      <c r="C231" s="11" t="s">
        <v>137</v>
      </c>
      <c r="D231" s="11" t="s">
        <v>197</v>
      </c>
      <c r="E231" s="19">
        <v>-107142.86</v>
      </c>
      <c r="F231" t="s">
        <v>133</v>
      </c>
    </row>
    <row r="232" spans="1:6" x14ac:dyDescent="0.25">
      <c r="A232" s="11" t="s">
        <v>249</v>
      </c>
      <c r="B232" s="11">
        <v>11</v>
      </c>
      <c r="C232" s="11" t="s">
        <v>137</v>
      </c>
      <c r="D232" s="11" t="s">
        <v>216</v>
      </c>
      <c r="E232" s="19">
        <v>-17040</v>
      </c>
      <c r="F232" t="s">
        <v>133</v>
      </c>
    </row>
    <row r="233" spans="1:6" x14ac:dyDescent="0.25">
      <c r="A233" s="11" t="s">
        <v>249</v>
      </c>
      <c r="B233" s="11">
        <v>11</v>
      </c>
      <c r="C233" s="11" t="s">
        <v>137</v>
      </c>
      <c r="D233" s="11" t="s">
        <v>421</v>
      </c>
      <c r="E233" s="19">
        <v>3600000</v>
      </c>
      <c r="F233" t="s">
        <v>133</v>
      </c>
    </row>
    <row r="234" spans="1:6" x14ac:dyDescent="0.25">
      <c r="A234" s="11" t="s">
        <v>249</v>
      </c>
      <c r="B234" s="11">
        <v>11</v>
      </c>
      <c r="C234" s="11" t="s">
        <v>139</v>
      </c>
      <c r="D234" s="11" t="s">
        <v>334</v>
      </c>
      <c r="E234" s="19">
        <v>448000</v>
      </c>
      <c r="F234" t="s">
        <v>133</v>
      </c>
    </row>
    <row r="235" spans="1:6" x14ac:dyDescent="0.25">
      <c r="A235" s="11" t="s">
        <v>249</v>
      </c>
      <c r="B235" s="11">
        <v>11</v>
      </c>
      <c r="C235" s="11" t="s">
        <v>139</v>
      </c>
      <c r="D235" s="11" t="s">
        <v>197</v>
      </c>
      <c r="E235" s="19">
        <v>-142857.15</v>
      </c>
      <c r="F235" t="s">
        <v>133</v>
      </c>
    </row>
    <row r="236" spans="1:6" x14ac:dyDescent="0.25">
      <c r="A236" s="11" t="s">
        <v>249</v>
      </c>
      <c r="B236" s="11">
        <v>11</v>
      </c>
      <c r="C236" s="11" t="s">
        <v>139</v>
      </c>
      <c r="D236" s="11" t="s">
        <v>216</v>
      </c>
      <c r="E236" s="19">
        <v>-22720</v>
      </c>
      <c r="F236" t="s">
        <v>133</v>
      </c>
    </row>
    <row r="237" spans="1:6" x14ac:dyDescent="0.25">
      <c r="A237" s="11" t="s">
        <v>249</v>
      </c>
      <c r="B237" s="11">
        <v>11</v>
      </c>
      <c r="C237" s="11" t="s">
        <v>139</v>
      </c>
      <c r="D237" s="11" t="s">
        <v>421</v>
      </c>
      <c r="E237" s="19">
        <v>4800000</v>
      </c>
      <c r="F237" t="s">
        <v>133</v>
      </c>
    </row>
    <row r="238" spans="1:6" x14ac:dyDescent="0.25">
      <c r="A238" s="11" t="s">
        <v>249</v>
      </c>
      <c r="B238" s="11">
        <v>11</v>
      </c>
      <c r="C238" s="11" t="s">
        <v>72</v>
      </c>
      <c r="D238" s="11" t="s">
        <v>117</v>
      </c>
      <c r="E238" s="19">
        <v>-134547.26</v>
      </c>
      <c r="F238" t="s">
        <v>131</v>
      </c>
    </row>
    <row r="239" spans="1:6" x14ac:dyDescent="0.25">
      <c r="A239" s="11" t="s">
        <v>249</v>
      </c>
      <c r="B239" s="11">
        <v>11</v>
      </c>
      <c r="C239" s="11" t="s">
        <v>132</v>
      </c>
      <c r="D239" s="11" t="s">
        <v>117</v>
      </c>
      <c r="E239" s="19">
        <v>-1171969.6599999999</v>
      </c>
      <c r="F239" t="s">
        <v>133</v>
      </c>
    </row>
    <row r="240" spans="1:6" x14ac:dyDescent="0.25">
      <c r="A240" s="11" t="s">
        <v>249</v>
      </c>
      <c r="B240" s="11">
        <v>11</v>
      </c>
      <c r="C240" s="11" t="s">
        <v>134</v>
      </c>
      <c r="D240" s="11" t="s">
        <v>117</v>
      </c>
      <c r="E240" s="19">
        <v>-625050.49</v>
      </c>
      <c r="F240" t="s">
        <v>133</v>
      </c>
    </row>
    <row r="241" spans="1:6" x14ac:dyDescent="0.25">
      <c r="A241" s="11" t="s">
        <v>249</v>
      </c>
      <c r="B241" s="11">
        <v>11</v>
      </c>
      <c r="C241" s="11" t="s">
        <v>135</v>
      </c>
      <c r="D241" s="11" t="s">
        <v>117</v>
      </c>
      <c r="E241" s="19">
        <v>-736886.14</v>
      </c>
      <c r="F241" t="s">
        <v>133</v>
      </c>
    </row>
    <row r="242" spans="1:6" x14ac:dyDescent="0.25">
      <c r="A242" s="11" t="s">
        <v>249</v>
      </c>
      <c r="B242" s="11">
        <v>11</v>
      </c>
      <c r="C242" s="11" t="s">
        <v>136</v>
      </c>
      <c r="D242" s="11" t="s">
        <v>117</v>
      </c>
      <c r="E242" s="19">
        <v>-526347.24</v>
      </c>
      <c r="F242" t="s">
        <v>133</v>
      </c>
    </row>
    <row r="243" spans="1:6" x14ac:dyDescent="0.25">
      <c r="A243" s="11" t="s">
        <v>249</v>
      </c>
      <c r="B243" s="11">
        <v>11</v>
      </c>
      <c r="C243" s="11" t="s">
        <v>137</v>
      </c>
      <c r="D243" s="11" t="s">
        <v>117</v>
      </c>
      <c r="E243" s="19">
        <v>-649885.37</v>
      </c>
      <c r="F243" t="s">
        <v>133</v>
      </c>
    </row>
    <row r="244" spans="1:6" x14ac:dyDescent="0.25">
      <c r="A244" s="11" t="s">
        <v>249</v>
      </c>
      <c r="B244" s="11">
        <v>11</v>
      </c>
      <c r="C244" s="11" t="s">
        <v>139</v>
      </c>
      <c r="D244" s="11" t="s">
        <v>117</v>
      </c>
      <c r="E244" s="19">
        <v>-866513.84</v>
      </c>
      <c r="F244" t="s">
        <v>133</v>
      </c>
    </row>
    <row r="245" spans="1:6" x14ac:dyDescent="0.25">
      <c r="A245" s="11" t="s">
        <v>249</v>
      </c>
      <c r="B245" s="11">
        <v>11</v>
      </c>
      <c r="C245" s="11" t="s">
        <v>422</v>
      </c>
      <c r="D245" s="11" t="s">
        <v>117</v>
      </c>
      <c r="E245" s="19">
        <v>4711200</v>
      </c>
      <c r="F245" t="s">
        <v>423</v>
      </c>
    </row>
    <row r="246" spans="1:6" x14ac:dyDescent="0.25">
      <c r="A246" s="11" t="s">
        <v>250</v>
      </c>
      <c r="B246" s="11">
        <v>12</v>
      </c>
      <c r="C246" s="11" t="s">
        <v>72</v>
      </c>
      <c r="D246" s="11" t="s">
        <v>334</v>
      </c>
      <c r="E246" s="19">
        <v>414000</v>
      </c>
      <c r="F246" t="s">
        <v>131</v>
      </c>
    </row>
    <row r="247" spans="1:6" x14ac:dyDescent="0.25">
      <c r="A247" s="11" t="s">
        <v>250</v>
      </c>
      <c r="B247" s="11">
        <v>12</v>
      </c>
      <c r="C247" s="11" t="s">
        <v>72</v>
      </c>
      <c r="D247" s="11" t="s">
        <v>216</v>
      </c>
      <c r="E247" s="19">
        <v>-2840</v>
      </c>
      <c r="F247" t="s">
        <v>131</v>
      </c>
    </row>
    <row r="248" spans="1:6" x14ac:dyDescent="0.25">
      <c r="A248" s="11" t="s">
        <v>250</v>
      </c>
      <c r="B248" s="11">
        <v>12</v>
      </c>
      <c r="C248" s="11" t="s">
        <v>132</v>
      </c>
      <c r="D248" s="11" t="s">
        <v>334</v>
      </c>
      <c r="E248" s="19">
        <v>6210000</v>
      </c>
      <c r="F248" t="s">
        <v>133</v>
      </c>
    </row>
    <row r="249" spans="1:6" x14ac:dyDescent="0.25">
      <c r="A249" s="11" t="s">
        <v>250</v>
      </c>
      <c r="B249" s="11">
        <v>12</v>
      </c>
      <c r="C249" s="11" t="s">
        <v>132</v>
      </c>
      <c r="D249" s="11" t="s">
        <v>197</v>
      </c>
      <c r="E249" s="19">
        <v>-375000</v>
      </c>
      <c r="F249" t="s">
        <v>133</v>
      </c>
    </row>
    <row r="250" spans="1:6" x14ac:dyDescent="0.25">
      <c r="A250" s="11" t="s">
        <v>250</v>
      </c>
      <c r="B250" s="11">
        <v>12</v>
      </c>
      <c r="C250" s="11" t="s">
        <v>132</v>
      </c>
      <c r="D250" s="11" t="s">
        <v>216</v>
      </c>
      <c r="E250" s="19">
        <v>-42600</v>
      </c>
      <c r="F250" t="s">
        <v>133</v>
      </c>
    </row>
    <row r="251" spans="1:6" x14ac:dyDescent="0.25">
      <c r="A251" s="11" t="s">
        <v>250</v>
      </c>
      <c r="B251" s="11">
        <v>12</v>
      </c>
      <c r="C251" s="11" t="s">
        <v>134</v>
      </c>
      <c r="D251" s="11" t="s">
        <v>334</v>
      </c>
      <c r="E251" s="19">
        <v>3312000</v>
      </c>
      <c r="F251" t="s">
        <v>133</v>
      </c>
    </row>
    <row r="252" spans="1:6" x14ac:dyDescent="0.25">
      <c r="A252" s="11" t="s">
        <v>250</v>
      </c>
      <c r="B252" s="11">
        <v>12</v>
      </c>
      <c r="C252" s="11" t="s">
        <v>134</v>
      </c>
      <c r="D252" s="11" t="s">
        <v>197</v>
      </c>
      <c r="E252" s="19">
        <v>-200000</v>
      </c>
      <c r="F252" t="s">
        <v>133</v>
      </c>
    </row>
    <row r="253" spans="1:6" x14ac:dyDescent="0.25">
      <c r="A253" s="11" t="s">
        <v>250</v>
      </c>
      <c r="B253" s="11">
        <v>12</v>
      </c>
      <c r="C253" s="11" t="s">
        <v>134</v>
      </c>
      <c r="D253" s="11" t="s">
        <v>216</v>
      </c>
      <c r="E253" s="19">
        <v>-22720</v>
      </c>
      <c r="F253" t="s">
        <v>133</v>
      </c>
    </row>
    <row r="254" spans="1:6" x14ac:dyDescent="0.25">
      <c r="A254" s="11" t="s">
        <v>250</v>
      </c>
      <c r="B254" s="11">
        <v>12</v>
      </c>
      <c r="C254" s="11" t="s">
        <v>135</v>
      </c>
      <c r="D254" s="11" t="s">
        <v>334</v>
      </c>
      <c r="E254" s="19">
        <v>2898000</v>
      </c>
      <c r="F254" t="s">
        <v>133</v>
      </c>
    </row>
    <row r="255" spans="1:6" x14ac:dyDescent="0.25">
      <c r="A255" s="11" t="s">
        <v>250</v>
      </c>
      <c r="B255" s="11">
        <v>12</v>
      </c>
      <c r="C255" s="11" t="s">
        <v>135</v>
      </c>
      <c r="D255" s="11" t="s">
        <v>197</v>
      </c>
      <c r="E255" s="19">
        <v>-175000</v>
      </c>
      <c r="F255" t="s">
        <v>133</v>
      </c>
    </row>
    <row r="256" spans="1:6" x14ac:dyDescent="0.25">
      <c r="A256" s="11" t="s">
        <v>250</v>
      </c>
      <c r="B256" s="11">
        <v>12</v>
      </c>
      <c r="C256" s="11" t="s">
        <v>135</v>
      </c>
      <c r="D256" s="11" t="s">
        <v>216</v>
      </c>
      <c r="E256" s="19">
        <v>-19880</v>
      </c>
      <c r="F256" t="s">
        <v>133</v>
      </c>
    </row>
    <row r="257" spans="1:6" x14ac:dyDescent="0.25">
      <c r="A257" s="11" t="s">
        <v>250</v>
      </c>
      <c r="B257" s="11">
        <v>12</v>
      </c>
      <c r="C257" s="11" t="s">
        <v>136</v>
      </c>
      <c r="D257" s="11" t="s">
        <v>334</v>
      </c>
      <c r="E257" s="19">
        <v>2070000</v>
      </c>
      <c r="F257" t="s">
        <v>133</v>
      </c>
    </row>
    <row r="258" spans="1:6" x14ac:dyDescent="0.25">
      <c r="A258" s="11" t="s">
        <v>250</v>
      </c>
      <c r="B258" s="11">
        <v>12</v>
      </c>
      <c r="C258" s="11" t="s">
        <v>136</v>
      </c>
      <c r="D258" s="11" t="s">
        <v>197</v>
      </c>
      <c r="E258" s="19">
        <v>-125000</v>
      </c>
      <c r="F258" t="s">
        <v>133</v>
      </c>
    </row>
    <row r="259" spans="1:6" x14ac:dyDescent="0.25">
      <c r="A259" s="11" t="s">
        <v>250</v>
      </c>
      <c r="B259" s="11">
        <v>12</v>
      </c>
      <c r="C259" s="11" t="s">
        <v>136</v>
      </c>
      <c r="D259" s="11" t="s">
        <v>216</v>
      </c>
      <c r="E259" s="19">
        <v>-14200</v>
      </c>
      <c r="F259" t="s">
        <v>133</v>
      </c>
    </row>
    <row r="260" spans="1:6" x14ac:dyDescent="0.25">
      <c r="A260" s="11" t="s">
        <v>250</v>
      </c>
      <c r="B260" s="11">
        <v>12</v>
      </c>
      <c r="C260" s="11" t="s">
        <v>137</v>
      </c>
      <c r="D260" s="11" t="s">
        <v>334</v>
      </c>
      <c r="E260" s="19">
        <v>2484000</v>
      </c>
      <c r="F260" t="s">
        <v>133</v>
      </c>
    </row>
    <row r="261" spans="1:6" x14ac:dyDescent="0.25">
      <c r="A261" s="11" t="s">
        <v>250</v>
      </c>
      <c r="B261" s="11">
        <v>12</v>
      </c>
      <c r="C261" s="11" t="s">
        <v>137</v>
      </c>
      <c r="D261" s="11" t="s">
        <v>197</v>
      </c>
      <c r="E261" s="19">
        <v>-150000</v>
      </c>
      <c r="F261" t="s">
        <v>133</v>
      </c>
    </row>
    <row r="262" spans="1:6" x14ac:dyDescent="0.25">
      <c r="A262" s="11" t="s">
        <v>250</v>
      </c>
      <c r="B262" s="11">
        <v>12</v>
      </c>
      <c r="C262" s="11" t="s">
        <v>137</v>
      </c>
      <c r="D262" s="11" t="s">
        <v>216</v>
      </c>
      <c r="E262" s="19">
        <v>-17040</v>
      </c>
      <c r="F262" t="s">
        <v>133</v>
      </c>
    </row>
    <row r="263" spans="1:6" x14ac:dyDescent="0.25">
      <c r="A263" s="11" t="s">
        <v>250</v>
      </c>
      <c r="B263" s="11">
        <v>12</v>
      </c>
      <c r="C263" s="11" t="s">
        <v>139</v>
      </c>
      <c r="D263" s="11" t="s">
        <v>334</v>
      </c>
      <c r="E263" s="19">
        <v>3312000</v>
      </c>
      <c r="F263" t="s">
        <v>133</v>
      </c>
    </row>
    <row r="264" spans="1:6" x14ac:dyDescent="0.25">
      <c r="A264" s="11" t="s">
        <v>250</v>
      </c>
      <c r="B264" s="11">
        <v>12</v>
      </c>
      <c r="C264" s="11" t="s">
        <v>139</v>
      </c>
      <c r="D264" s="11" t="s">
        <v>197</v>
      </c>
      <c r="E264" s="19">
        <v>-200000</v>
      </c>
      <c r="F264" t="s">
        <v>133</v>
      </c>
    </row>
    <row r="265" spans="1:6" x14ac:dyDescent="0.25">
      <c r="A265" s="11" t="s">
        <v>250</v>
      </c>
      <c r="B265" s="11">
        <v>12</v>
      </c>
      <c r="C265" s="11" t="s">
        <v>139</v>
      </c>
      <c r="D265" s="11" t="s">
        <v>216</v>
      </c>
      <c r="E265" s="19">
        <v>-22720</v>
      </c>
      <c r="F265" t="s">
        <v>133</v>
      </c>
    </row>
    <row r="266" spans="1:6" x14ac:dyDescent="0.25">
      <c r="A266" s="11" t="s">
        <v>250</v>
      </c>
      <c r="B266" s="11">
        <v>12</v>
      </c>
      <c r="C266" s="11" t="s">
        <v>72</v>
      </c>
      <c r="D266" s="11" t="s">
        <v>117</v>
      </c>
      <c r="E266" s="19">
        <v>86321.8</v>
      </c>
      <c r="F266" t="s">
        <v>131</v>
      </c>
    </row>
    <row r="267" spans="1:6" x14ac:dyDescent="0.25">
      <c r="A267" s="11" t="s">
        <v>250</v>
      </c>
      <c r="B267" s="11">
        <v>12</v>
      </c>
      <c r="C267" s="11" t="s">
        <v>132</v>
      </c>
      <c r="D267" s="11" t="s">
        <v>117</v>
      </c>
      <c r="E267" s="19">
        <v>779140.18</v>
      </c>
      <c r="F267" t="s">
        <v>133</v>
      </c>
    </row>
    <row r="268" spans="1:6" x14ac:dyDescent="0.25">
      <c r="A268" s="11" t="s">
        <v>250</v>
      </c>
      <c r="B268" s="11">
        <v>12</v>
      </c>
      <c r="C268" s="11" t="s">
        <v>134</v>
      </c>
      <c r="D268" s="11" t="s">
        <v>117</v>
      </c>
      <c r="E268" s="19">
        <v>415541.43</v>
      </c>
      <c r="F268" t="s">
        <v>133</v>
      </c>
    </row>
    <row r="269" spans="1:6" x14ac:dyDescent="0.25">
      <c r="A269" s="11" t="s">
        <v>250</v>
      </c>
      <c r="B269" s="11">
        <v>12</v>
      </c>
      <c r="C269" s="11" t="s">
        <v>135</v>
      </c>
      <c r="D269" s="11" t="s">
        <v>117</v>
      </c>
      <c r="E269" s="19">
        <v>485198.3</v>
      </c>
      <c r="F269" t="s">
        <v>133</v>
      </c>
    </row>
    <row r="270" spans="1:6" x14ac:dyDescent="0.25">
      <c r="A270" s="11" t="s">
        <v>250</v>
      </c>
      <c r="B270" s="11">
        <v>12</v>
      </c>
      <c r="C270" s="11" t="s">
        <v>136</v>
      </c>
      <c r="D270" s="11" t="s">
        <v>117</v>
      </c>
      <c r="E270" s="19">
        <v>346570.21</v>
      </c>
      <c r="F270" t="s">
        <v>133</v>
      </c>
    </row>
    <row r="271" spans="1:6" x14ac:dyDescent="0.25">
      <c r="A271" s="11" t="s">
        <v>250</v>
      </c>
      <c r="B271" s="11">
        <v>12</v>
      </c>
      <c r="C271" s="11" t="s">
        <v>137</v>
      </c>
      <c r="D271" s="11" t="s">
        <v>117</v>
      </c>
      <c r="E271" s="19">
        <v>427578.2</v>
      </c>
      <c r="F271" t="s">
        <v>133</v>
      </c>
    </row>
    <row r="272" spans="1:6" x14ac:dyDescent="0.25">
      <c r="A272" s="11" t="s">
        <v>250</v>
      </c>
      <c r="B272" s="11">
        <v>12</v>
      </c>
      <c r="C272" s="11" t="s">
        <v>139</v>
      </c>
      <c r="D272" s="11" t="s">
        <v>117</v>
      </c>
      <c r="E272" s="19">
        <v>570104.29</v>
      </c>
      <c r="F272" t="s">
        <v>133</v>
      </c>
    </row>
    <row r="273" spans="1:6" x14ac:dyDescent="0.25">
      <c r="A273" s="11" t="s">
        <v>250</v>
      </c>
      <c r="B273" s="11">
        <v>12</v>
      </c>
      <c r="C273" s="11" t="s">
        <v>422</v>
      </c>
      <c r="D273" s="11" t="s">
        <v>117</v>
      </c>
      <c r="E273" s="19">
        <v>-3110454.41</v>
      </c>
      <c r="F273" t="s">
        <v>423</v>
      </c>
    </row>
    <row r="274" spans="1:6" x14ac:dyDescent="0.25">
      <c r="A274" s="11" t="s">
        <v>251</v>
      </c>
      <c r="B274" s="11">
        <v>13</v>
      </c>
      <c r="C274" s="11" t="s">
        <v>72</v>
      </c>
      <c r="D274" s="11" t="s">
        <v>334</v>
      </c>
      <c r="E274" s="19">
        <v>146000</v>
      </c>
      <c r="F274" t="s">
        <v>131</v>
      </c>
    </row>
    <row r="275" spans="1:6" x14ac:dyDescent="0.25">
      <c r="A275" s="11" t="s">
        <v>251</v>
      </c>
      <c r="B275" s="11">
        <v>13</v>
      </c>
      <c r="C275" s="11" t="s">
        <v>72</v>
      </c>
      <c r="D275" s="11" t="s">
        <v>216</v>
      </c>
      <c r="E275" s="19">
        <v>-2840</v>
      </c>
      <c r="F275" t="s">
        <v>131</v>
      </c>
    </row>
    <row r="276" spans="1:6" x14ac:dyDescent="0.25">
      <c r="A276" s="11" t="s">
        <v>251</v>
      </c>
      <c r="B276" s="11">
        <v>13</v>
      </c>
      <c r="C276" s="11" t="s">
        <v>72</v>
      </c>
      <c r="D276" s="11" t="s">
        <v>424</v>
      </c>
      <c r="E276" s="19">
        <v>8400</v>
      </c>
      <c r="F276" t="s">
        <v>131</v>
      </c>
    </row>
    <row r="277" spans="1:6" x14ac:dyDescent="0.25">
      <c r="A277" s="11" t="s">
        <v>251</v>
      </c>
      <c r="B277" s="11">
        <v>13</v>
      </c>
      <c r="C277" s="11" t="s">
        <v>72</v>
      </c>
      <c r="D277" s="11" t="s">
        <v>421</v>
      </c>
      <c r="E277" s="19">
        <v>-80000</v>
      </c>
      <c r="F277" t="s">
        <v>131</v>
      </c>
    </row>
    <row r="278" spans="1:6" x14ac:dyDescent="0.25">
      <c r="A278" s="11" t="s">
        <v>251</v>
      </c>
      <c r="B278" s="11">
        <v>13</v>
      </c>
      <c r="C278" s="11" t="s">
        <v>132</v>
      </c>
      <c r="D278" s="11" t="s">
        <v>334</v>
      </c>
      <c r="E278" s="19">
        <v>2190000</v>
      </c>
      <c r="F278" t="s">
        <v>133</v>
      </c>
    </row>
    <row r="279" spans="1:6" x14ac:dyDescent="0.25">
      <c r="A279" s="11" t="s">
        <v>251</v>
      </c>
      <c r="B279" s="11">
        <v>13</v>
      </c>
      <c r="C279" s="11" t="s">
        <v>132</v>
      </c>
      <c r="D279" s="11" t="s">
        <v>197</v>
      </c>
      <c r="E279" s="19">
        <v>-375000</v>
      </c>
      <c r="F279" t="s">
        <v>133</v>
      </c>
    </row>
    <row r="280" spans="1:6" x14ac:dyDescent="0.25">
      <c r="A280" s="11" t="s">
        <v>251</v>
      </c>
      <c r="B280" s="11">
        <v>13</v>
      </c>
      <c r="C280" s="11" t="s">
        <v>132</v>
      </c>
      <c r="D280" s="11" t="s">
        <v>216</v>
      </c>
      <c r="E280" s="19">
        <v>-42600</v>
      </c>
      <c r="F280" t="s">
        <v>133</v>
      </c>
    </row>
    <row r="281" spans="1:6" x14ac:dyDescent="0.25">
      <c r="A281" s="11" t="s">
        <v>251</v>
      </c>
      <c r="B281" s="11">
        <v>13</v>
      </c>
      <c r="C281" s="11" t="s">
        <v>132</v>
      </c>
      <c r="D281" s="11" t="s">
        <v>424</v>
      </c>
      <c r="E281" s="19">
        <v>126000</v>
      </c>
      <c r="F281" t="s">
        <v>133</v>
      </c>
    </row>
    <row r="282" spans="1:6" x14ac:dyDescent="0.25">
      <c r="A282" s="11" t="s">
        <v>251</v>
      </c>
      <c r="B282" s="11">
        <v>13</v>
      </c>
      <c r="C282" s="11" t="s">
        <v>132</v>
      </c>
      <c r="D282" s="11" t="s">
        <v>421</v>
      </c>
      <c r="E282" s="19">
        <v>-1200000</v>
      </c>
      <c r="F282" t="s">
        <v>133</v>
      </c>
    </row>
    <row r="283" spans="1:6" x14ac:dyDescent="0.25">
      <c r="A283" s="11" t="s">
        <v>251</v>
      </c>
      <c r="B283" s="11">
        <v>13</v>
      </c>
      <c r="C283" s="11" t="s">
        <v>134</v>
      </c>
      <c r="D283" s="11" t="s">
        <v>334</v>
      </c>
      <c r="E283" s="19">
        <v>1168000</v>
      </c>
      <c r="F283" t="s">
        <v>133</v>
      </c>
    </row>
    <row r="284" spans="1:6" x14ac:dyDescent="0.25">
      <c r="A284" s="11" t="s">
        <v>251</v>
      </c>
      <c r="B284" s="11">
        <v>13</v>
      </c>
      <c r="C284" s="11" t="s">
        <v>134</v>
      </c>
      <c r="D284" s="11" t="s">
        <v>197</v>
      </c>
      <c r="E284" s="19">
        <v>-200000</v>
      </c>
      <c r="F284" t="s">
        <v>133</v>
      </c>
    </row>
    <row r="285" spans="1:6" x14ac:dyDescent="0.25">
      <c r="A285" s="11" t="s">
        <v>251</v>
      </c>
      <c r="B285" s="11">
        <v>13</v>
      </c>
      <c r="C285" s="11" t="s">
        <v>134</v>
      </c>
      <c r="D285" s="11" t="s">
        <v>216</v>
      </c>
      <c r="E285" s="19">
        <v>-22720</v>
      </c>
      <c r="F285" t="s">
        <v>133</v>
      </c>
    </row>
    <row r="286" spans="1:6" x14ac:dyDescent="0.25">
      <c r="A286" s="11" t="s">
        <v>251</v>
      </c>
      <c r="B286" s="11">
        <v>13</v>
      </c>
      <c r="C286" s="11" t="s">
        <v>134</v>
      </c>
      <c r="D286" s="11" t="s">
        <v>424</v>
      </c>
      <c r="E286" s="19">
        <v>67200</v>
      </c>
      <c r="F286" t="s">
        <v>133</v>
      </c>
    </row>
    <row r="287" spans="1:6" x14ac:dyDescent="0.25">
      <c r="A287" s="11" t="s">
        <v>251</v>
      </c>
      <c r="B287" s="11">
        <v>13</v>
      </c>
      <c r="C287" s="11" t="s">
        <v>134</v>
      </c>
      <c r="D287" s="11" t="s">
        <v>421</v>
      </c>
      <c r="E287" s="19">
        <v>-640000</v>
      </c>
      <c r="F287" t="s">
        <v>133</v>
      </c>
    </row>
    <row r="288" spans="1:6" x14ac:dyDescent="0.25">
      <c r="A288" s="11" t="s">
        <v>251</v>
      </c>
      <c r="B288" s="11">
        <v>13</v>
      </c>
      <c r="C288" s="11" t="s">
        <v>135</v>
      </c>
      <c r="D288" s="11" t="s">
        <v>334</v>
      </c>
      <c r="E288" s="19">
        <v>1022000</v>
      </c>
      <c r="F288" t="s">
        <v>133</v>
      </c>
    </row>
    <row r="289" spans="1:6" x14ac:dyDescent="0.25">
      <c r="A289" s="11" t="s">
        <v>251</v>
      </c>
      <c r="B289" s="11">
        <v>13</v>
      </c>
      <c r="C289" s="11" t="s">
        <v>135</v>
      </c>
      <c r="D289" s="11" t="s">
        <v>197</v>
      </c>
      <c r="E289" s="19">
        <v>-175000</v>
      </c>
      <c r="F289" t="s">
        <v>133</v>
      </c>
    </row>
    <row r="290" spans="1:6" x14ac:dyDescent="0.25">
      <c r="A290" s="11" t="s">
        <v>251</v>
      </c>
      <c r="B290" s="11">
        <v>13</v>
      </c>
      <c r="C290" s="11" t="s">
        <v>135</v>
      </c>
      <c r="D290" s="11" t="s">
        <v>216</v>
      </c>
      <c r="E290" s="19">
        <v>-19880</v>
      </c>
      <c r="F290" t="s">
        <v>133</v>
      </c>
    </row>
    <row r="291" spans="1:6" x14ac:dyDescent="0.25">
      <c r="A291" s="11" t="s">
        <v>251</v>
      </c>
      <c r="B291" s="11">
        <v>13</v>
      </c>
      <c r="C291" s="11" t="s">
        <v>135</v>
      </c>
      <c r="D291" s="11" t="s">
        <v>424</v>
      </c>
      <c r="E291" s="19">
        <v>58800</v>
      </c>
      <c r="F291" t="s">
        <v>133</v>
      </c>
    </row>
    <row r="292" spans="1:6" x14ac:dyDescent="0.25">
      <c r="A292" s="11" t="s">
        <v>251</v>
      </c>
      <c r="B292" s="11">
        <v>13</v>
      </c>
      <c r="C292" s="11" t="s">
        <v>135</v>
      </c>
      <c r="D292" s="11" t="s">
        <v>421</v>
      </c>
      <c r="E292" s="19">
        <v>-560000</v>
      </c>
      <c r="F292" t="s">
        <v>133</v>
      </c>
    </row>
    <row r="293" spans="1:6" x14ac:dyDescent="0.25">
      <c r="A293" s="11" t="s">
        <v>251</v>
      </c>
      <c r="B293" s="11">
        <v>13</v>
      </c>
      <c r="C293" s="11" t="s">
        <v>136</v>
      </c>
      <c r="D293" s="11" t="s">
        <v>334</v>
      </c>
      <c r="E293" s="19">
        <v>730000</v>
      </c>
      <c r="F293" t="s">
        <v>133</v>
      </c>
    </row>
    <row r="294" spans="1:6" x14ac:dyDescent="0.25">
      <c r="A294" s="11" t="s">
        <v>251</v>
      </c>
      <c r="B294" s="11">
        <v>13</v>
      </c>
      <c r="C294" s="11" t="s">
        <v>136</v>
      </c>
      <c r="D294" s="11" t="s">
        <v>197</v>
      </c>
      <c r="E294" s="19">
        <v>-125000</v>
      </c>
      <c r="F294" t="s">
        <v>133</v>
      </c>
    </row>
    <row r="295" spans="1:6" x14ac:dyDescent="0.25">
      <c r="A295" s="11" t="s">
        <v>251</v>
      </c>
      <c r="B295" s="11">
        <v>13</v>
      </c>
      <c r="C295" s="11" t="s">
        <v>136</v>
      </c>
      <c r="D295" s="11" t="s">
        <v>216</v>
      </c>
      <c r="E295" s="19">
        <v>-14200</v>
      </c>
      <c r="F295" t="s">
        <v>133</v>
      </c>
    </row>
    <row r="296" spans="1:6" x14ac:dyDescent="0.25">
      <c r="A296" s="11" t="s">
        <v>251</v>
      </c>
      <c r="B296" s="11">
        <v>13</v>
      </c>
      <c r="C296" s="11" t="s">
        <v>136</v>
      </c>
      <c r="D296" s="11" t="s">
        <v>424</v>
      </c>
      <c r="E296" s="19">
        <v>42000</v>
      </c>
      <c r="F296" t="s">
        <v>133</v>
      </c>
    </row>
    <row r="297" spans="1:6" x14ac:dyDescent="0.25">
      <c r="A297" s="11" t="s">
        <v>251</v>
      </c>
      <c r="B297" s="11">
        <v>13</v>
      </c>
      <c r="C297" s="11" t="s">
        <v>136</v>
      </c>
      <c r="D297" s="11" t="s">
        <v>421</v>
      </c>
      <c r="E297" s="19">
        <v>-400000</v>
      </c>
      <c r="F297" t="s">
        <v>133</v>
      </c>
    </row>
    <row r="298" spans="1:6" x14ac:dyDescent="0.25">
      <c r="A298" s="11" t="s">
        <v>251</v>
      </c>
      <c r="B298" s="11">
        <v>13</v>
      </c>
      <c r="C298" s="11" t="s">
        <v>137</v>
      </c>
      <c r="D298" s="11" t="s">
        <v>334</v>
      </c>
      <c r="E298" s="19">
        <v>876000</v>
      </c>
      <c r="F298" t="s">
        <v>133</v>
      </c>
    </row>
    <row r="299" spans="1:6" x14ac:dyDescent="0.25">
      <c r="A299" s="11" t="s">
        <v>251</v>
      </c>
      <c r="B299" s="11">
        <v>13</v>
      </c>
      <c r="C299" s="11" t="s">
        <v>137</v>
      </c>
      <c r="D299" s="11" t="s">
        <v>197</v>
      </c>
      <c r="E299" s="19">
        <v>-150000</v>
      </c>
      <c r="F299" t="s">
        <v>133</v>
      </c>
    </row>
    <row r="300" spans="1:6" x14ac:dyDescent="0.25">
      <c r="A300" s="11" t="s">
        <v>251</v>
      </c>
      <c r="B300" s="11">
        <v>13</v>
      </c>
      <c r="C300" s="11" t="s">
        <v>137</v>
      </c>
      <c r="D300" s="11" t="s">
        <v>216</v>
      </c>
      <c r="E300" s="19">
        <v>-17040</v>
      </c>
      <c r="F300" t="s">
        <v>133</v>
      </c>
    </row>
    <row r="301" spans="1:6" x14ac:dyDescent="0.25">
      <c r="A301" s="11" t="s">
        <v>251</v>
      </c>
      <c r="B301" s="11">
        <v>13</v>
      </c>
      <c r="C301" s="11" t="s">
        <v>137</v>
      </c>
      <c r="D301" s="11" t="s">
        <v>424</v>
      </c>
      <c r="E301" s="19">
        <v>50400</v>
      </c>
      <c r="F301" t="s">
        <v>133</v>
      </c>
    </row>
    <row r="302" spans="1:6" x14ac:dyDescent="0.25">
      <c r="A302" s="11" t="s">
        <v>251</v>
      </c>
      <c r="B302" s="11">
        <v>13</v>
      </c>
      <c r="C302" s="11" t="s">
        <v>137</v>
      </c>
      <c r="D302" s="11" t="s">
        <v>421</v>
      </c>
      <c r="E302" s="19">
        <v>-480000</v>
      </c>
      <c r="F302" t="s">
        <v>133</v>
      </c>
    </row>
    <row r="303" spans="1:6" x14ac:dyDescent="0.25">
      <c r="A303" s="11" t="s">
        <v>251</v>
      </c>
      <c r="B303" s="11">
        <v>13</v>
      </c>
      <c r="C303" s="11" t="s">
        <v>139</v>
      </c>
      <c r="D303" s="11" t="s">
        <v>334</v>
      </c>
      <c r="E303" s="19">
        <v>1168000</v>
      </c>
      <c r="F303" t="s">
        <v>133</v>
      </c>
    </row>
    <row r="304" spans="1:6" x14ac:dyDescent="0.25">
      <c r="A304" s="11" t="s">
        <v>251</v>
      </c>
      <c r="B304" s="11">
        <v>13</v>
      </c>
      <c r="C304" s="11" t="s">
        <v>139</v>
      </c>
      <c r="D304" s="11" t="s">
        <v>197</v>
      </c>
      <c r="E304" s="19">
        <v>-200000</v>
      </c>
      <c r="F304" t="s">
        <v>133</v>
      </c>
    </row>
    <row r="305" spans="1:6" x14ac:dyDescent="0.25">
      <c r="A305" s="11" t="s">
        <v>251</v>
      </c>
      <c r="B305" s="11">
        <v>13</v>
      </c>
      <c r="C305" s="11" t="s">
        <v>139</v>
      </c>
      <c r="D305" s="11" t="s">
        <v>216</v>
      </c>
      <c r="E305" s="19">
        <v>-22720</v>
      </c>
      <c r="F305" t="s">
        <v>133</v>
      </c>
    </row>
    <row r="306" spans="1:6" x14ac:dyDescent="0.25">
      <c r="A306" s="11" t="s">
        <v>251</v>
      </c>
      <c r="B306" s="11">
        <v>13</v>
      </c>
      <c r="C306" s="11" t="s">
        <v>139</v>
      </c>
      <c r="D306" s="11" t="s">
        <v>424</v>
      </c>
      <c r="E306" s="19">
        <v>67200</v>
      </c>
      <c r="F306" t="s">
        <v>133</v>
      </c>
    </row>
    <row r="307" spans="1:6" x14ac:dyDescent="0.25">
      <c r="A307" s="11" t="s">
        <v>251</v>
      </c>
      <c r="B307" s="11">
        <v>13</v>
      </c>
      <c r="C307" s="11" t="s">
        <v>139</v>
      </c>
      <c r="D307" s="11" t="s">
        <v>421</v>
      </c>
      <c r="E307" s="19">
        <v>-640000</v>
      </c>
      <c r="F307" t="s">
        <v>133</v>
      </c>
    </row>
    <row r="308" spans="1:6" x14ac:dyDescent="0.25">
      <c r="A308" s="11" t="s">
        <v>251</v>
      </c>
      <c r="B308" s="11">
        <v>13</v>
      </c>
      <c r="C308" s="11" t="s">
        <v>72</v>
      </c>
      <c r="D308" s="11" t="s">
        <v>117</v>
      </c>
      <c r="E308" s="19">
        <v>48225.46</v>
      </c>
      <c r="F308" t="s">
        <v>131</v>
      </c>
    </row>
    <row r="309" spans="1:6" x14ac:dyDescent="0.25">
      <c r="A309" s="11" t="s">
        <v>251</v>
      </c>
      <c r="B309" s="11">
        <v>13</v>
      </c>
      <c r="C309" s="11" t="s">
        <v>132</v>
      </c>
      <c r="D309" s="11" t="s">
        <v>117</v>
      </c>
      <c r="E309" s="19">
        <v>392829.48</v>
      </c>
      <c r="F309" t="s">
        <v>133</v>
      </c>
    </row>
    <row r="310" spans="1:6" x14ac:dyDescent="0.25">
      <c r="A310" s="11" t="s">
        <v>251</v>
      </c>
      <c r="B310" s="11">
        <v>13</v>
      </c>
      <c r="C310" s="11" t="s">
        <v>134</v>
      </c>
      <c r="D310" s="11" t="s">
        <v>117</v>
      </c>
      <c r="E310" s="19">
        <v>209509.06</v>
      </c>
      <c r="F310" t="s">
        <v>133</v>
      </c>
    </row>
    <row r="311" spans="1:6" x14ac:dyDescent="0.25">
      <c r="A311" s="11" t="s">
        <v>251</v>
      </c>
      <c r="B311" s="11">
        <v>13</v>
      </c>
      <c r="C311" s="11" t="s">
        <v>135</v>
      </c>
      <c r="D311" s="11" t="s">
        <v>117</v>
      </c>
      <c r="E311" s="19">
        <v>251687.84</v>
      </c>
      <c r="F311" t="s">
        <v>133</v>
      </c>
    </row>
    <row r="312" spans="1:6" x14ac:dyDescent="0.25">
      <c r="A312" s="11" t="s">
        <v>251</v>
      </c>
      <c r="B312" s="11">
        <v>13</v>
      </c>
      <c r="C312" s="11" t="s">
        <v>136</v>
      </c>
      <c r="D312" s="11" t="s">
        <v>117</v>
      </c>
      <c r="E312" s="19">
        <v>179777.03</v>
      </c>
      <c r="F312" t="s">
        <v>133</v>
      </c>
    </row>
    <row r="313" spans="1:6" x14ac:dyDescent="0.25">
      <c r="A313" s="11" t="s">
        <v>251</v>
      </c>
      <c r="B313" s="11">
        <v>13</v>
      </c>
      <c r="C313" s="11" t="s">
        <v>137</v>
      </c>
      <c r="D313" s="11" t="s">
        <v>117</v>
      </c>
      <c r="E313" s="19">
        <v>222307.17</v>
      </c>
      <c r="F313" t="s">
        <v>133</v>
      </c>
    </row>
    <row r="314" spans="1:6" x14ac:dyDescent="0.25">
      <c r="A314" s="11" t="s">
        <v>251</v>
      </c>
      <c r="B314" s="11">
        <v>13</v>
      </c>
      <c r="C314" s="11" t="s">
        <v>139</v>
      </c>
      <c r="D314" s="11" t="s">
        <v>117</v>
      </c>
      <c r="E314" s="19">
        <v>296409.55</v>
      </c>
      <c r="F314" t="s">
        <v>133</v>
      </c>
    </row>
    <row r="315" spans="1:6" x14ac:dyDescent="0.25">
      <c r="A315" s="11" t="s">
        <v>251</v>
      </c>
      <c r="B315" s="11">
        <v>13</v>
      </c>
      <c r="C315" s="11" t="s">
        <v>422</v>
      </c>
      <c r="D315" s="11" t="s">
        <v>117</v>
      </c>
      <c r="E315" s="19">
        <v>-1600745.59</v>
      </c>
      <c r="F315" t="s">
        <v>423</v>
      </c>
    </row>
    <row r="316" spans="1:6" x14ac:dyDescent="0.25">
      <c r="A316" s="11" t="s">
        <v>253</v>
      </c>
      <c r="B316" s="11">
        <v>14</v>
      </c>
      <c r="C316" s="11" t="s">
        <v>72</v>
      </c>
      <c r="D316" s="11" t="s">
        <v>334</v>
      </c>
      <c r="E316" s="19">
        <v>28000</v>
      </c>
      <c r="F316" t="s">
        <v>131</v>
      </c>
    </row>
    <row r="317" spans="1:6" x14ac:dyDescent="0.25">
      <c r="A317" s="11" t="s">
        <v>253</v>
      </c>
      <c r="B317" s="11">
        <v>14</v>
      </c>
      <c r="C317" s="11" t="s">
        <v>72</v>
      </c>
      <c r="D317" s="11" t="s">
        <v>216</v>
      </c>
      <c r="E317" s="19">
        <v>-2840</v>
      </c>
      <c r="F317" t="s">
        <v>131</v>
      </c>
    </row>
    <row r="318" spans="1:6" x14ac:dyDescent="0.25">
      <c r="A318" s="11" t="s">
        <v>253</v>
      </c>
      <c r="B318" s="11">
        <v>14</v>
      </c>
      <c r="C318" s="11" t="s">
        <v>72</v>
      </c>
      <c r="D318" s="11" t="s">
        <v>424</v>
      </c>
      <c r="E318" s="19">
        <v>8652</v>
      </c>
      <c r="F318" t="s">
        <v>131</v>
      </c>
    </row>
    <row r="319" spans="1:6" x14ac:dyDescent="0.25">
      <c r="A319" s="11" t="s">
        <v>253</v>
      </c>
      <c r="B319" s="11">
        <v>14</v>
      </c>
      <c r="C319" s="11" t="s">
        <v>132</v>
      </c>
      <c r="D319" s="11" t="s">
        <v>334</v>
      </c>
      <c r="E319" s="19">
        <v>420000</v>
      </c>
      <c r="F319" t="s">
        <v>133</v>
      </c>
    </row>
    <row r="320" spans="1:6" x14ac:dyDescent="0.25">
      <c r="A320" s="11" t="s">
        <v>253</v>
      </c>
      <c r="B320" s="11">
        <v>14</v>
      </c>
      <c r="C320" s="11" t="s">
        <v>132</v>
      </c>
      <c r="D320" s="11" t="s">
        <v>197</v>
      </c>
      <c r="E320" s="19">
        <v>-375000</v>
      </c>
      <c r="F320" t="s">
        <v>133</v>
      </c>
    </row>
    <row r="321" spans="1:6" x14ac:dyDescent="0.25">
      <c r="A321" s="11" t="s">
        <v>253</v>
      </c>
      <c r="B321" s="11">
        <v>14</v>
      </c>
      <c r="C321" s="11" t="s">
        <v>132</v>
      </c>
      <c r="D321" s="11" t="s">
        <v>216</v>
      </c>
      <c r="E321" s="19">
        <v>-42600</v>
      </c>
      <c r="F321" t="s">
        <v>133</v>
      </c>
    </row>
    <row r="322" spans="1:6" x14ac:dyDescent="0.25">
      <c r="A322" s="11" t="s">
        <v>253</v>
      </c>
      <c r="B322" s="11">
        <v>14</v>
      </c>
      <c r="C322" s="11" t="s">
        <v>132</v>
      </c>
      <c r="D322" s="11" t="s">
        <v>424</v>
      </c>
      <c r="E322" s="19">
        <v>129780</v>
      </c>
      <c r="F322" t="s">
        <v>133</v>
      </c>
    </row>
    <row r="323" spans="1:6" x14ac:dyDescent="0.25">
      <c r="A323" s="11" t="s">
        <v>253</v>
      </c>
      <c r="B323" s="11">
        <v>14</v>
      </c>
      <c r="C323" s="11" t="s">
        <v>134</v>
      </c>
      <c r="D323" s="11" t="s">
        <v>334</v>
      </c>
      <c r="E323" s="19">
        <v>224000</v>
      </c>
      <c r="F323" t="s">
        <v>133</v>
      </c>
    </row>
    <row r="324" spans="1:6" x14ac:dyDescent="0.25">
      <c r="A324" s="11" t="s">
        <v>253</v>
      </c>
      <c r="B324" s="11">
        <v>14</v>
      </c>
      <c r="C324" s="11" t="s">
        <v>134</v>
      </c>
      <c r="D324" s="11" t="s">
        <v>197</v>
      </c>
      <c r="E324" s="19">
        <v>-200000</v>
      </c>
      <c r="F324" t="s">
        <v>133</v>
      </c>
    </row>
    <row r="325" spans="1:6" x14ac:dyDescent="0.25">
      <c r="A325" s="11" t="s">
        <v>253</v>
      </c>
      <c r="B325" s="11">
        <v>14</v>
      </c>
      <c r="C325" s="11" t="s">
        <v>134</v>
      </c>
      <c r="D325" s="11" t="s">
        <v>216</v>
      </c>
      <c r="E325" s="19">
        <v>-22720</v>
      </c>
      <c r="F325" t="s">
        <v>133</v>
      </c>
    </row>
    <row r="326" spans="1:6" x14ac:dyDescent="0.25">
      <c r="A326" s="11" t="s">
        <v>253</v>
      </c>
      <c r="B326" s="11">
        <v>14</v>
      </c>
      <c r="C326" s="11" t="s">
        <v>134</v>
      </c>
      <c r="D326" s="11" t="s">
        <v>424</v>
      </c>
      <c r="E326" s="19">
        <v>69216</v>
      </c>
      <c r="F326" t="s">
        <v>133</v>
      </c>
    </row>
    <row r="327" spans="1:6" x14ac:dyDescent="0.25">
      <c r="A327" s="11" t="s">
        <v>253</v>
      </c>
      <c r="B327" s="11">
        <v>14</v>
      </c>
      <c r="C327" s="11" t="s">
        <v>135</v>
      </c>
      <c r="D327" s="11" t="s">
        <v>334</v>
      </c>
      <c r="E327" s="19">
        <v>196000</v>
      </c>
      <c r="F327" t="s">
        <v>133</v>
      </c>
    </row>
    <row r="328" spans="1:6" x14ac:dyDescent="0.25">
      <c r="A328" s="11" t="s">
        <v>253</v>
      </c>
      <c r="B328" s="11">
        <v>14</v>
      </c>
      <c r="C328" s="11" t="s">
        <v>135</v>
      </c>
      <c r="D328" s="11" t="s">
        <v>197</v>
      </c>
      <c r="E328" s="19">
        <v>-175000</v>
      </c>
      <c r="F328" t="s">
        <v>133</v>
      </c>
    </row>
    <row r="329" spans="1:6" x14ac:dyDescent="0.25">
      <c r="A329" s="11" t="s">
        <v>253</v>
      </c>
      <c r="B329" s="11">
        <v>14</v>
      </c>
      <c r="C329" s="11" t="s">
        <v>135</v>
      </c>
      <c r="D329" s="11" t="s">
        <v>216</v>
      </c>
      <c r="E329" s="19">
        <v>-19880</v>
      </c>
      <c r="F329" t="s">
        <v>133</v>
      </c>
    </row>
    <row r="330" spans="1:6" x14ac:dyDescent="0.25">
      <c r="A330" s="11" t="s">
        <v>253</v>
      </c>
      <c r="B330" s="11">
        <v>14</v>
      </c>
      <c r="C330" s="11" t="s">
        <v>135</v>
      </c>
      <c r="D330" s="11" t="s">
        <v>424</v>
      </c>
      <c r="E330" s="19">
        <v>60564</v>
      </c>
      <c r="F330" t="s">
        <v>133</v>
      </c>
    </row>
    <row r="331" spans="1:6" x14ac:dyDescent="0.25">
      <c r="A331" s="11" t="s">
        <v>253</v>
      </c>
      <c r="B331" s="11">
        <v>14</v>
      </c>
      <c r="C331" s="11" t="s">
        <v>136</v>
      </c>
      <c r="D331" s="11" t="s">
        <v>334</v>
      </c>
      <c r="E331" s="19">
        <v>140000</v>
      </c>
      <c r="F331" t="s">
        <v>133</v>
      </c>
    </row>
    <row r="332" spans="1:6" x14ac:dyDescent="0.25">
      <c r="A332" s="11" t="s">
        <v>253</v>
      </c>
      <c r="B332" s="11">
        <v>14</v>
      </c>
      <c r="C332" s="11" t="s">
        <v>136</v>
      </c>
      <c r="D332" s="11" t="s">
        <v>197</v>
      </c>
      <c r="E332" s="19">
        <v>-125000</v>
      </c>
      <c r="F332" t="s">
        <v>133</v>
      </c>
    </row>
    <row r="333" spans="1:6" x14ac:dyDescent="0.25">
      <c r="A333" s="11" t="s">
        <v>253</v>
      </c>
      <c r="B333" s="11">
        <v>14</v>
      </c>
      <c r="C333" s="11" t="s">
        <v>136</v>
      </c>
      <c r="D333" s="11" t="s">
        <v>216</v>
      </c>
      <c r="E333" s="19">
        <v>-14200</v>
      </c>
      <c r="F333" t="s">
        <v>133</v>
      </c>
    </row>
    <row r="334" spans="1:6" x14ac:dyDescent="0.25">
      <c r="A334" s="11" t="s">
        <v>253</v>
      </c>
      <c r="B334" s="11">
        <v>14</v>
      </c>
      <c r="C334" s="11" t="s">
        <v>136</v>
      </c>
      <c r="D334" s="11" t="s">
        <v>424</v>
      </c>
      <c r="E334" s="19">
        <v>43260</v>
      </c>
      <c r="F334" t="s">
        <v>133</v>
      </c>
    </row>
    <row r="335" spans="1:6" x14ac:dyDescent="0.25">
      <c r="A335" s="11" t="s">
        <v>253</v>
      </c>
      <c r="B335" s="11">
        <v>14</v>
      </c>
      <c r="C335" s="11" t="s">
        <v>137</v>
      </c>
      <c r="D335" s="11" t="s">
        <v>334</v>
      </c>
      <c r="E335" s="19">
        <v>168000</v>
      </c>
      <c r="F335" t="s">
        <v>133</v>
      </c>
    </row>
    <row r="336" spans="1:6" x14ac:dyDescent="0.25">
      <c r="A336" s="11" t="s">
        <v>253</v>
      </c>
      <c r="B336" s="11">
        <v>14</v>
      </c>
      <c r="C336" s="11" t="s">
        <v>137</v>
      </c>
      <c r="D336" s="11" t="s">
        <v>197</v>
      </c>
      <c r="E336" s="19">
        <v>-150000</v>
      </c>
      <c r="F336" t="s">
        <v>133</v>
      </c>
    </row>
    <row r="337" spans="1:6" x14ac:dyDescent="0.25">
      <c r="A337" s="11" t="s">
        <v>253</v>
      </c>
      <c r="B337" s="11">
        <v>14</v>
      </c>
      <c r="C337" s="11" t="s">
        <v>137</v>
      </c>
      <c r="D337" s="11" t="s">
        <v>216</v>
      </c>
      <c r="E337" s="19">
        <v>-17040</v>
      </c>
      <c r="F337" t="s">
        <v>133</v>
      </c>
    </row>
    <row r="338" spans="1:6" x14ac:dyDescent="0.25">
      <c r="A338" s="11" t="s">
        <v>253</v>
      </c>
      <c r="B338" s="11">
        <v>14</v>
      </c>
      <c r="C338" s="11" t="s">
        <v>137</v>
      </c>
      <c r="D338" s="11" t="s">
        <v>424</v>
      </c>
      <c r="E338" s="19">
        <v>51912</v>
      </c>
      <c r="F338" t="s">
        <v>133</v>
      </c>
    </row>
    <row r="339" spans="1:6" x14ac:dyDescent="0.25">
      <c r="A339" s="11" t="s">
        <v>253</v>
      </c>
      <c r="B339" s="11">
        <v>14</v>
      </c>
      <c r="C339" s="11" t="s">
        <v>139</v>
      </c>
      <c r="D339" s="11" t="s">
        <v>334</v>
      </c>
      <c r="E339" s="19">
        <v>224000</v>
      </c>
      <c r="F339" t="s">
        <v>133</v>
      </c>
    </row>
    <row r="340" spans="1:6" x14ac:dyDescent="0.25">
      <c r="A340" s="11" t="s">
        <v>253</v>
      </c>
      <c r="B340" s="11">
        <v>14</v>
      </c>
      <c r="C340" s="11" t="s">
        <v>139</v>
      </c>
      <c r="D340" s="11" t="s">
        <v>197</v>
      </c>
      <c r="E340" s="19">
        <v>-200000</v>
      </c>
      <c r="F340" t="s">
        <v>133</v>
      </c>
    </row>
    <row r="341" spans="1:6" x14ac:dyDescent="0.25">
      <c r="A341" s="11" t="s">
        <v>253</v>
      </c>
      <c r="B341" s="11">
        <v>14</v>
      </c>
      <c r="C341" s="11" t="s">
        <v>139</v>
      </c>
      <c r="D341" s="11" t="s">
        <v>216</v>
      </c>
      <c r="E341" s="19">
        <v>-22720</v>
      </c>
      <c r="F341" t="s">
        <v>133</v>
      </c>
    </row>
    <row r="342" spans="1:6" x14ac:dyDescent="0.25">
      <c r="A342" s="11" t="s">
        <v>253</v>
      </c>
      <c r="B342" s="11">
        <v>14</v>
      </c>
      <c r="C342" s="11" t="s">
        <v>139</v>
      </c>
      <c r="D342" s="11" t="s">
        <v>424</v>
      </c>
      <c r="E342" s="19">
        <v>69216</v>
      </c>
      <c r="F342" t="s">
        <v>133</v>
      </c>
    </row>
    <row r="343" spans="1:6" x14ac:dyDescent="0.25">
      <c r="A343" s="11" t="s">
        <v>254</v>
      </c>
      <c r="B343" s="11">
        <v>15</v>
      </c>
      <c r="C343" s="11" t="s">
        <v>72</v>
      </c>
      <c r="D343" s="11" t="s">
        <v>334</v>
      </c>
      <c r="E343" s="19">
        <v>28000</v>
      </c>
      <c r="F343" t="s">
        <v>131</v>
      </c>
    </row>
    <row r="344" spans="1:6" x14ac:dyDescent="0.25">
      <c r="A344" s="11" t="s">
        <v>254</v>
      </c>
      <c r="B344" s="11">
        <v>15</v>
      </c>
      <c r="C344" s="11" t="s">
        <v>72</v>
      </c>
      <c r="D344" s="11" t="s">
        <v>216</v>
      </c>
      <c r="E344" s="19">
        <v>-2840</v>
      </c>
      <c r="F344" t="s">
        <v>131</v>
      </c>
    </row>
    <row r="345" spans="1:6" x14ac:dyDescent="0.25">
      <c r="A345" s="11" t="s">
        <v>254</v>
      </c>
      <c r="B345" s="11">
        <v>15</v>
      </c>
      <c r="C345" s="11" t="s">
        <v>72</v>
      </c>
      <c r="D345" s="11" t="s">
        <v>424</v>
      </c>
      <c r="E345" s="19">
        <v>8911.56</v>
      </c>
      <c r="F345" t="s">
        <v>131</v>
      </c>
    </row>
    <row r="346" spans="1:6" x14ac:dyDescent="0.25">
      <c r="A346" s="11" t="s">
        <v>254</v>
      </c>
      <c r="B346" s="11">
        <v>15</v>
      </c>
      <c r="C346" s="11" t="s">
        <v>132</v>
      </c>
      <c r="D346" s="11" t="s">
        <v>334</v>
      </c>
      <c r="E346" s="19">
        <v>420000</v>
      </c>
      <c r="F346" t="s">
        <v>133</v>
      </c>
    </row>
    <row r="347" spans="1:6" x14ac:dyDescent="0.25">
      <c r="A347" s="11" t="s">
        <v>254</v>
      </c>
      <c r="B347" s="11">
        <v>15</v>
      </c>
      <c r="C347" s="11" t="s">
        <v>132</v>
      </c>
      <c r="D347" s="11" t="s">
        <v>197</v>
      </c>
      <c r="E347" s="19">
        <v>-252551.02</v>
      </c>
      <c r="F347" t="s">
        <v>133</v>
      </c>
    </row>
    <row r="348" spans="1:6" x14ac:dyDescent="0.25">
      <c r="A348" s="11" t="s">
        <v>254</v>
      </c>
      <c r="B348" s="11">
        <v>15</v>
      </c>
      <c r="C348" s="11" t="s">
        <v>132</v>
      </c>
      <c r="D348" s="11" t="s">
        <v>216</v>
      </c>
      <c r="E348" s="19">
        <v>-42600</v>
      </c>
      <c r="F348" t="s">
        <v>133</v>
      </c>
    </row>
    <row r="349" spans="1:6" x14ac:dyDescent="0.25">
      <c r="A349" s="11" t="s">
        <v>254</v>
      </c>
      <c r="B349" s="11">
        <v>15</v>
      </c>
      <c r="C349" s="11" t="s">
        <v>132</v>
      </c>
      <c r="D349" s="11" t="s">
        <v>424</v>
      </c>
      <c r="E349" s="19">
        <v>133673.4</v>
      </c>
      <c r="F349" t="s">
        <v>133</v>
      </c>
    </row>
    <row r="350" spans="1:6" x14ac:dyDescent="0.25">
      <c r="A350" s="11" t="s">
        <v>254</v>
      </c>
      <c r="B350" s="11">
        <v>15</v>
      </c>
      <c r="C350" s="11" t="s">
        <v>134</v>
      </c>
      <c r="D350" s="11" t="s">
        <v>334</v>
      </c>
      <c r="E350" s="19">
        <v>224000</v>
      </c>
      <c r="F350" t="s">
        <v>133</v>
      </c>
    </row>
    <row r="351" spans="1:6" x14ac:dyDescent="0.25">
      <c r="A351" s="11" t="s">
        <v>254</v>
      </c>
      <c r="B351" s="11">
        <v>15</v>
      </c>
      <c r="C351" s="11" t="s">
        <v>134</v>
      </c>
      <c r="D351" s="11" t="s">
        <v>197</v>
      </c>
      <c r="E351" s="19">
        <v>-134693.88</v>
      </c>
      <c r="F351" t="s">
        <v>133</v>
      </c>
    </row>
    <row r="352" spans="1:6" x14ac:dyDescent="0.25">
      <c r="A352" s="11" t="s">
        <v>254</v>
      </c>
      <c r="B352" s="11">
        <v>15</v>
      </c>
      <c r="C352" s="11" t="s">
        <v>134</v>
      </c>
      <c r="D352" s="11" t="s">
        <v>216</v>
      </c>
      <c r="E352" s="19">
        <v>-22720</v>
      </c>
      <c r="F352" t="s">
        <v>133</v>
      </c>
    </row>
    <row r="353" spans="1:6" x14ac:dyDescent="0.25">
      <c r="A353" s="11" t="s">
        <v>254</v>
      </c>
      <c r="B353" s="11">
        <v>15</v>
      </c>
      <c r="C353" s="11" t="s">
        <v>134</v>
      </c>
      <c r="D353" s="11" t="s">
        <v>424</v>
      </c>
      <c r="E353" s="19">
        <v>71292.479999999996</v>
      </c>
      <c r="F353" t="s">
        <v>133</v>
      </c>
    </row>
    <row r="354" spans="1:6" x14ac:dyDescent="0.25">
      <c r="A354" s="11" t="s">
        <v>254</v>
      </c>
      <c r="B354" s="11">
        <v>15</v>
      </c>
      <c r="C354" s="11" t="s">
        <v>135</v>
      </c>
      <c r="D354" s="11" t="s">
        <v>334</v>
      </c>
      <c r="E354" s="19">
        <v>196000</v>
      </c>
      <c r="F354" t="s">
        <v>133</v>
      </c>
    </row>
    <row r="355" spans="1:6" x14ac:dyDescent="0.25">
      <c r="A355" s="11" t="s">
        <v>254</v>
      </c>
      <c r="B355" s="11">
        <v>15</v>
      </c>
      <c r="C355" s="11" t="s">
        <v>135</v>
      </c>
      <c r="D355" s="11" t="s">
        <v>197</v>
      </c>
      <c r="E355" s="19">
        <v>-117857.14</v>
      </c>
      <c r="F355" t="s">
        <v>133</v>
      </c>
    </row>
    <row r="356" spans="1:6" x14ac:dyDescent="0.25">
      <c r="A356" s="11" t="s">
        <v>254</v>
      </c>
      <c r="B356" s="11">
        <v>15</v>
      </c>
      <c r="C356" s="11" t="s">
        <v>135</v>
      </c>
      <c r="D356" s="11" t="s">
        <v>216</v>
      </c>
      <c r="E356" s="19">
        <v>-19880</v>
      </c>
      <c r="F356" t="s">
        <v>133</v>
      </c>
    </row>
    <row r="357" spans="1:6" x14ac:dyDescent="0.25">
      <c r="A357" s="11" t="s">
        <v>254</v>
      </c>
      <c r="B357" s="11">
        <v>15</v>
      </c>
      <c r="C357" s="11" t="s">
        <v>135</v>
      </c>
      <c r="D357" s="11" t="s">
        <v>424</v>
      </c>
      <c r="E357" s="19">
        <v>62380.92</v>
      </c>
      <c r="F357" t="s">
        <v>133</v>
      </c>
    </row>
    <row r="358" spans="1:6" x14ac:dyDescent="0.25">
      <c r="A358" s="11" t="s">
        <v>254</v>
      </c>
      <c r="B358" s="11">
        <v>15</v>
      </c>
      <c r="C358" s="11" t="s">
        <v>136</v>
      </c>
      <c r="D358" s="11" t="s">
        <v>334</v>
      </c>
      <c r="E358" s="19">
        <v>140000</v>
      </c>
      <c r="F358" t="s">
        <v>133</v>
      </c>
    </row>
    <row r="359" spans="1:6" x14ac:dyDescent="0.25">
      <c r="A359" s="11" t="s">
        <v>254</v>
      </c>
      <c r="B359" s="11">
        <v>15</v>
      </c>
      <c r="C359" s="11" t="s">
        <v>136</v>
      </c>
      <c r="D359" s="11" t="s">
        <v>197</v>
      </c>
      <c r="E359" s="19">
        <v>-84183.67</v>
      </c>
      <c r="F359" t="s">
        <v>133</v>
      </c>
    </row>
    <row r="360" spans="1:6" x14ac:dyDescent="0.25">
      <c r="A360" s="11" t="s">
        <v>254</v>
      </c>
      <c r="B360" s="11">
        <v>15</v>
      </c>
      <c r="C360" s="11" t="s">
        <v>136</v>
      </c>
      <c r="D360" s="11" t="s">
        <v>216</v>
      </c>
      <c r="E360" s="19">
        <v>-14200</v>
      </c>
      <c r="F360" t="s">
        <v>133</v>
      </c>
    </row>
    <row r="361" spans="1:6" x14ac:dyDescent="0.25">
      <c r="A361" s="11" t="s">
        <v>254</v>
      </c>
      <c r="B361" s="11">
        <v>15</v>
      </c>
      <c r="C361" s="11" t="s">
        <v>136</v>
      </c>
      <c r="D361" s="11" t="s">
        <v>424</v>
      </c>
      <c r="E361" s="19">
        <v>44557.8</v>
      </c>
      <c r="F361" t="s">
        <v>133</v>
      </c>
    </row>
    <row r="362" spans="1:6" x14ac:dyDescent="0.25">
      <c r="A362" s="11" t="s">
        <v>254</v>
      </c>
      <c r="B362" s="11">
        <v>15</v>
      </c>
      <c r="C362" s="11" t="s">
        <v>137</v>
      </c>
      <c r="D362" s="11" t="s">
        <v>334</v>
      </c>
      <c r="E362" s="19">
        <v>168000</v>
      </c>
      <c r="F362" t="s">
        <v>133</v>
      </c>
    </row>
    <row r="363" spans="1:6" x14ac:dyDescent="0.25">
      <c r="A363" s="11" t="s">
        <v>254</v>
      </c>
      <c r="B363" s="11">
        <v>15</v>
      </c>
      <c r="C363" s="11" t="s">
        <v>137</v>
      </c>
      <c r="D363" s="11" t="s">
        <v>197</v>
      </c>
      <c r="E363" s="19">
        <v>-101020.41</v>
      </c>
      <c r="F363" t="s">
        <v>133</v>
      </c>
    </row>
    <row r="364" spans="1:6" x14ac:dyDescent="0.25">
      <c r="A364" s="11" t="s">
        <v>254</v>
      </c>
      <c r="B364" s="11">
        <v>15</v>
      </c>
      <c r="C364" s="11" t="s">
        <v>137</v>
      </c>
      <c r="D364" s="11" t="s">
        <v>216</v>
      </c>
      <c r="E364" s="19">
        <v>-17040</v>
      </c>
      <c r="F364" t="s">
        <v>133</v>
      </c>
    </row>
    <row r="365" spans="1:6" x14ac:dyDescent="0.25">
      <c r="A365" s="11" t="s">
        <v>254</v>
      </c>
      <c r="B365" s="11">
        <v>15</v>
      </c>
      <c r="C365" s="11" t="s">
        <v>137</v>
      </c>
      <c r="D365" s="11" t="s">
        <v>424</v>
      </c>
      <c r="E365" s="19">
        <v>53469.36</v>
      </c>
      <c r="F365" t="s">
        <v>133</v>
      </c>
    </row>
    <row r="366" spans="1:6" x14ac:dyDescent="0.25">
      <c r="A366" s="11" t="s">
        <v>254</v>
      </c>
      <c r="B366" s="11">
        <v>15</v>
      </c>
      <c r="C366" s="11" t="s">
        <v>139</v>
      </c>
      <c r="D366" s="11" t="s">
        <v>334</v>
      </c>
      <c r="E366" s="19">
        <v>224000</v>
      </c>
      <c r="F366" t="s">
        <v>133</v>
      </c>
    </row>
    <row r="367" spans="1:6" x14ac:dyDescent="0.25">
      <c r="A367" s="11" t="s">
        <v>254</v>
      </c>
      <c r="B367" s="11">
        <v>15</v>
      </c>
      <c r="C367" s="11" t="s">
        <v>139</v>
      </c>
      <c r="D367" s="11" t="s">
        <v>197</v>
      </c>
      <c r="E367" s="19">
        <v>-134693.88</v>
      </c>
      <c r="F367" t="s">
        <v>133</v>
      </c>
    </row>
    <row r="368" spans="1:6" x14ac:dyDescent="0.25">
      <c r="A368" s="11" t="s">
        <v>254</v>
      </c>
      <c r="B368" s="11">
        <v>15</v>
      </c>
      <c r="C368" s="11" t="s">
        <v>139</v>
      </c>
      <c r="D368" s="11" t="s">
        <v>216</v>
      </c>
      <c r="E368" s="19">
        <v>-22720</v>
      </c>
      <c r="F368" t="s">
        <v>133</v>
      </c>
    </row>
    <row r="369" spans="1:6" x14ac:dyDescent="0.25">
      <c r="A369" s="11" t="s">
        <v>254</v>
      </c>
      <c r="B369" s="11">
        <v>15</v>
      </c>
      <c r="C369" s="11" t="s">
        <v>139</v>
      </c>
      <c r="D369" s="11" t="s">
        <v>424</v>
      </c>
      <c r="E369" s="19">
        <v>71292.479999999996</v>
      </c>
      <c r="F369" t="s">
        <v>133</v>
      </c>
    </row>
    <row r="370" spans="1:6" x14ac:dyDescent="0.25">
      <c r="A370" s="11" t="s">
        <v>255</v>
      </c>
      <c r="B370" s="11">
        <v>16</v>
      </c>
      <c r="C370" s="11" t="s">
        <v>72</v>
      </c>
      <c r="D370" s="11" t="s">
        <v>334</v>
      </c>
      <c r="E370" s="19">
        <v>10000</v>
      </c>
      <c r="F370" t="s">
        <v>131</v>
      </c>
    </row>
    <row r="371" spans="1:6" x14ac:dyDescent="0.25">
      <c r="A371" s="11" t="s">
        <v>255</v>
      </c>
      <c r="B371" s="11">
        <v>16</v>
      </c>
      <c r="C371" s="11" t="s">
        <v>72</v>
      </c>
      <c r="D371" s="11" t="s">
        <v>216</v>
      </c>
      <c r="E371" s="19">
        <v>-2840</v>
      </c>
      <c r="F371" t="s">
        <v>131</v>
      </c>
    </row>
    <row r="372" spans="1:6" x14ac:dyDescent="0.25">
      <c r="A372" s="11" t="s">
        <v>255</v>
      </c>
      <c r="B372" s="11">
        <v>16</v>
      </c>
      <c r="C372" s="11" t="s">
        <v>72</v>
      </c>
      <c r="D372" s="11" t="s">
        <v>424</v>
      </c>
      <c r="E372" s="19">
        <v>9178.91</v>
      </c>
      <c r="F372" t="s">
        <v>131</v>
      </c>
    </row>
    <row r="373" spans="1:6" x14ac:dyDescent="0.25">
      <c r="A373" s="11" t="s">
        <v>255</v>
      </c>
      <c r="B373" s="11">
        <v>16</v>
      </c>
      <c r="C373" s="11" t="s">
        <v>132</v>
      </c>
      <c r="D373" s="11" t="s">
        <v>334</v>
      </c>
      <c r="E373" s="19">
        <v>150000</v>
      </c>
      <c r="F373" t="s">
        <v>133</v>
      </c>
    </row>
    <row r="374" spans="1:6" x14ac:dyDescent="0.25">
      <c r="A374" s="11" t="s">
        <v>255</v>
      </c>
      <c r="B374" s="11">
        <v>16</v>
      </c>
      <c r="C374" s="11" t="s">
        <v>132</v>
      </c>
      <c r="D374" s="11" t="s">
        <v>197</v>
      </c>
      <c r="E374" s="19">
        <v>-375000</v>
      </c>
      <c r="F374" t="s">
        <v>133</v>
      </c>
    </row>
    <row r="375" spans="1:6" x14ac:dyDescent="0.25">
      <c r="A375" s="11" t="s">
        <v>255</v>
      </c>
      <c r="B375" s="11">
        <v>16</v>
      </c>
      <c r="C375" s="11" t="s">
        <v>132</v>
      </c>
      <c r="D375" s="11" t="s">
        <v>216</v>
      </c>
      <c r="E375" s="19">
        <v>-42600</v>
      </c>
      <c r="F375" t="s">
        <v>133</v>
      </c>
    </row>
    <row r="376" spans="1:6" x14ac:dyDescent="0.25">
      <c r="A376" s="11" t="s">
        <v>255</v>
      </c>
      <c r="B376" s="11">
        <v>16</v>
      </c>
      <c r="C376" s="11" t="s">
        <v>132</v>
      </c>
      <c r="D376" s="11" t="s">
        <v>424</v>
      </c>
      <c r="E376" s="19">
        <v>137683.6</v>
      </c>
      <c r="F376" t="s">
        <v>133</v>
      </c>
    </row>
    <row r="377" spans="1:6" x14ac:dyDescent="0.25">
      <c r="A377" s="11" t="s">
        <v>255</v>
      </c>
      <c r="B377" s="11">
        <v>16</v>
      </c>
      <c r="C377" s="11" t="s">
        <v>134</v>
      </c>
      <c r="D377" s="11" t="s">
        <v>334</v>
      </c>
      <c r="E377" s="19">
        <v>80000</v>
      </c>
      <c r="F377" t="s">
        <v>133</v>
      </c>
    </row>
    <row r="378" spans="1:6" x14ac:dyDescent="0.25">
      <c r="A378" s="11" t="s">
        <v>255</v>
      </c>
      <c r="B378" s="11">
        <v>16</v>
      </c>
      <c r="C378" s="11" t="s">
        <v>134</v>
      </c>
      <c r="D378" s="11" t="s">
        <v>197</v>
      </c>
      <c r="E378" s="19">
        <v>-200000</v>
      </c>
      <c r="F378" t="s">
        <v>133</v>
      </c>
    </row>
    <row r="379" spans="1:6" x14ac:dyDescent="0.25">
      <c r="A379" s="11" t="s">
        <v>255</v>
      </c>
      <c r="B379" s="11">
        <v>16</v>
      </c>
      <c r="C379" s="11" t="s">
        <v>134</v>
      </c>
      <c r="D379" s="11" t="s">
        <v>216</v>
      </c>
      <c r="E379" s="19">
        <v>-22720</v>
      </c>
      <c r="F379" t="s">
        <v>133</v>
      </c>
    </row>
    <row r="380" spans="1:6" x14ac:dyDescent="0.25">
      <c r="A380" s="11" t="s">
        <v>255</v>
      </c>
      <c r="B380" s="11">
        <v>16</v>
      </c>
      <c r="C380" s="11" t="s">
        <v>134</v>
      </c>
      <c r="D380" s="11" t="s">
        <v>424</v>
      </c>
      <c r="E380" s="19">
        <v>73431.25</v>
      </c>
      <c r="F380" t="s">
        <v>133</v>
      </c>
    </row>
    <row r="381" spans="1:6" x14ac:dyDescent="0.25">
      <c r="A381" s="11" t="s">
        <v>255</v>
      </c>
      <c r="B381" s="11">
        <v>16</v>
      </c>
      <c r="C381" s="11" t="s">
        <v>135</v>
      </c>
      <c r="D381" s="11" t="s">
        <v>334</v>
      </c>
      <c r="E381" s="19">
        <v>70000</v>
      </c>
      <c r="F381" t="s">
        <v>133</v>
      </c>
    </row>
    <row r="382" spans="1:6" x14ac:dyDescent="0.25">
      <c r="A382" s="11" t="s">
        <v>255</v>
      </c>
      <c r="B382" s="11">
        <v>16</v>
      </c>
      <c r="C382" s="11" t="s">
        <v>135</v>
      </c>
      <c r="D382" s="11" t="s">
        <v>197</v>
      </c>
      <c r="E382" s="19">
        <v>-175000</v>
      </c>
      <c r="F382" t="s">
        <v>133</v>
      </c>
    </row>
    <row r="383" spans="1:6" x14ac:dyDescent="0.25">
      <c r="A383" s="11" t="s">
        <v>255</v>
      </c>
      <c r="B383" s="11">
        <v>16</v>
      </c>
      <c r="C383" s="11" t="s">
        <v>135</v>
      </c>
      <c r="D383" s="11" t="s">
        <v>216</v>
      </c>
      <c r="E383" s="19">
        <v>-19880</v>
      </c>
      <c r="F383" t="s">
        <v>133</v>
      </c>
    </row>
    <row r="384" spans="1:6" x14ac:dyDescent="0.25">
      <c r="A384" s="11" t="s">
        <v>255</v>
      </c>
      <c r="B384" s="11">
        <v>16</v>
      </c>
      <c r="C384" s="11" t="s">
        <v>135</v>
      </c>
      <c r="D384" s="11" t="s">
        <v>424</v>
      </c>
      <c r="E384" s="19">
        <v>64252.35</v>
      </c>
      <c r="F384" t="s">
        <v>133</v>
      </c>
    </row>
    <row r="385" spans="1:6" x14ac:dyDescent="0.25">
      <c r="A385" s="11" t="s">
        <v>255</v>
      </c>
      <c r="B385" s="11">
        <v>16</v>
      </c>
      <c r="C385" s="11" t="s">
        <v>136</v>
      </c>
      <c r="D385" s="11" t="s">
        <v>334</v>
      </c>
      <c r="E385" s="19">
        <v>50000</v>
      </c>
      <c r="F385" t="s">
        <v>133</v>
      </c>
    </row>
    <row r="386" spans="1:6" x14ac:dyDescent="0.25">
      <c r="A386" s="11" t="s">
        <v>255</v>
      </c>
      <c r="B386" s="11">
        <v>16</v>
      </c>
      <c r="C386" s="11" t="s">
        <v>136</v>
      </c>
      <c r="D386" s="11" t="s">
        <v>197</v>
      </c>
      <c r="E386" s="19">
        <v>-125000</v>
      </c>
      <c r="F386" t="s">
        <v>133</v>
      </c>
    </row>
    <row r="387" spans="1:6" x14ac:dyDescent="0.25">
      <c r="A387" s="11" t="s">
        <v>255</v>
      </c>
      <c r="B387" s="11">
        <v>16</v>
      </c>
      <c r="C387" s="11" t="s">
        <v>136</v>
      </c>
      <c r="D387" s="11" t="s">
        <v>216</v>
      </c>
      <c r="E387" s="19">
        <v>-14200</v>
      </c>
      <c r="F387" t="s">
        <v>133</v>
      </c>
    </row>
    <row r="388" spans="1:6" x14ac:dyDescent="0.25">
      <c r="A388" s="11" t="s">
        <v>255</v>
      </c>
      <c r="B388" s="11">
        <v>16</v>
      </c>
      <c r="C388" s="11" t="s">
        <v>136</v>
      </c>
      <c r="D388" s="11" t="s">
        <v>424</v>
      </c>
      <c r="E388" s="19">
        <v>45894.53</v>
      </c>
      <c r="F388" t="s">
        <v>133</v>
      </c>
    </row>
    <row r="389" spans="1:6" x14ac:dyDescent="0.25">
      <c r="A389" s="11" t="s">
        <v>255</v>
      </c>
      <c r="B389" s="11">
        <v>16</v>
      </c>
      <c r="C389" s="11" t="s">
        <v>137</v>
      </c>
      <c r="D389" s="11" t="s">
        <v>334</v>
      </c>
      <c r="E389" s="19">
        <v>60000</v>
      </c>
      <c r="F389" t="s">
        <v>133</v>
      </c>
    </row>
    <row r="390" spans="1:6" x14ac:dyDescent="0.25">
      <c r="A390" s="11" t="s">
        <v>255</v>
      </c>
      <c r="B390" s="11">
        <v>16</v>
      </c>
      <c r="C390" s="11" t="s">
        <v>137</v>
      </c>
      <c r="D390" s="11" t="s">
        <v>197</v>
      </c>
      <c r="E390" s="19">
        <v>-150000</v>
      </c>
      <c r="F390" t="s">
        <v>133</v>
      </c>
    </row>
    <row r="391" spans="1:6" x14ac:dyDescent="0.25">
      <c r="A391" s="11" t="s">
        <v>255</v>
      </c>
      <c r="B391" s="11">
        <v>16</v>
      </c>
      <c r="C391" s="11" t="s">
        <v>137</v>
      </c>
      <c r="D391" s="11" t="s">
        <v>216</v>
      </c>
      <c r="E391" s="19">
        <v>-17040</v>
      </c>
      <c r="F391" t="s">
        <v>133</v>
      </c>
    </row>
    <row r="392" spans="1:6" x14ac:dyDescent="0.25">
      <c r="A392" s="11" t="s">
        <v>255</v>
      </c>
      <c r="B392" s="11">
        <v>16</v>
      </c>
      <c r="C392" s="11" t="s">
        <v>137</v>
      </c>
      <c r="D392" s="11" t="s">
        <v>424</v>
      </c>
      <c r="E392" s="19">
        <v>55073.440000000002</v>
      </c>
      <c r="F392" t="s">
        <v>133</v>
      </c>
    </row>
    <row r="393" spans="1:6" x14ac:dyDescent="0.25">
      <c r="A393" s="11" t="s">
        <v>255</v>
      </c>
      <c r="B393" s="11">
        <v>16</v>
      </c>
      <c r="C393" s="11" t="s">
        <v>139</v>
      </c>
      <c r="D393" s="11" t="s">
        <v>334</v>
      </c>
      <c r="E393" s="19">
        <v>80000</v>
      </c>
      <c r="F393" t="s">
        <v>133</v>
      </c>
    </row>
    <row r="394" spans="1:6" x14ac:dyDescent="0.25">
      <c r="A394" s="11" t="s">
        <v>255</v>
      </c>
      <c r="B394" s="11">
        <v>16</v>
      </c>
      <c r="C394" s="11" t="s">
        <v>139</v>
      </c>
      <c r="D394" s="11" t="s">
        <v>197</v>
      </c>
      <c r="E394" s="19">
        <v>-200000</v>
      </c>
      <c r="F394" t="s">
        <v>133</v>
      </c>
    </row>
    <row r="395" spans="1:6" x14ac:dyDescent="0.25">
      <c r="A395" s="11" t="s">
        <v>255</v>
      </c>
      <c r="B395" s="11">
        <v>16</v>
      </c>
      <c r="C395" s="11" t="s">
        <v>139</v>
      </c>
      <c r="D395" s="11" t="s">
        <v>216</v>
      </c>
      <c r="E395" s="19">
        <v>-22720</v>
      </c>
      <c r="F395" t="s">
        <v>133</v>
      </c>
    </row>
    <row r="396" spans="1:6" x14ac:dyDescent="0.25">
      <c r="A396" s="11" t="s">
        <v>255</v>
      </c>
      <c r="B396" s="11">
        <v>16</v>
      </c>
      <c r="C396" s="11" t="s">
        <v>139</v>
      </c>
      <c r="D396" s="11" t="s">
        <v>424</v>
      </c>
      <c r="E396" s="19">
        <v>73431.259999999995</v>
      </c>
      <c r="F396" t="s">
        <v>133</v>
      </c>
    </row>
    <row r="397" spans="1:6" x14ac:dyDescent="0.25">
      <c r="A397" s="11" t="s">
        <v>256</v>
      </c>
      <c r="B397" s="11">
        <v>17</v>
      </c>
      <c r="C397" s="11" t="s">
        <v>72</v>
      </c>
      <c r="D397" s="11" t="s">
        <v>334</v>
      </c>
      <c r="E397" s="19">
        <v>128000</v>
      </c>
      <c r="F397" t="s">
        <v>131</v>
      </c>
    </row>
    <row r="398" spans="1:6" x14ac:dyDescent="0.25">
      <c r="A398" s="11" t="s">
        <v>256</v>
      </c>
      <c r="B398" s="11">
        <v>17</v>
      </c>
      <c r="C398" s="11" t="s">
        <v>72</v>
      </c>
      <c r="D398" s="11" t="s">
        <v>216</v>
      </c>
      <c r="E398" s="19">
        <v>-2840</v>
      </c>
      <c r="F398" t="s">
        <v>131</v>
      </c>
    </row>
    <row r="399" spans="1:6" x14ac:dyDescent="0.25">
      <c r="A399" s="11" t="s">
        <v>256</v>
      </c>
      <c r="B399" s="11">
        <v>17</v>
      </c>
      <c r="C399" s="11" t="s">
        <v>72</v>
      </c>
      <c r="D399" s="11" t="s">
        <v>424</v>
      </c>
      <c r="E399" s="19">
        <v>9454.27</v>
      </c>
      <c r="F399" t="s">
        <v>131</v>
      </c>
    </row>
    <row r="400" spans="1:6" x14ac:dyDescent="0.25">
      <c r="A400" s="11" t="s">
        <v>256</v>
      </c>
      <c r="B400" s="11">
        <v>17</v>
      </c>
      <c r="C400" s="11" t="s">
        <v>72</v>
      </c>
      <c r="D400" s="11" t="s">
        <v>421</v>
      </c>
      <c r="E400" s="19">
        <v>-50000</v>
      </c>
      <c r="F400" t="s">
        <v>131</v>
      </c>
    </row>
    <row r="401" spans="1:6" x14ac:dyDescent="0.25">
      <c r="A401" s="11" t="s">
        <v>256</v>
      </c>
      <c r="B401" s="11">
        <v>17</v>
      </c>
      <c r="C401" s="11" t="s">
        <v>132</v>
      </c>
      <c r="D401" s="11" t="s">
        <v>334</v>
      </c>
      <c r="E401" s="19">
        <v>1920000</v>
      </c>
      <c r="F401" t="s">
        <v>133</v>
      </c>
    </row>
    <row r="402" spans="1:6" x14ac:dyDescent="0.25">
      <c r="A402" s="11" t="s">
        <v>256</v>
      </c>
      <c r="B402" s="11">
        <v>17</v>
      </c>
      <c r="C402" s="11" t="s">
        <v>132</v>
      </c>
      <c r="D402" s="11" t="s">
        <v>197</v>
      </c>
      <c r="E402" s="19">
        <v>-375000</v>
      </c>
      <c r="F402" t="s">
        <v>133</v>
      </c>
    </row>
    <row r="403" spans="1:6" x14ac:dyDescent="0.25">
      <c r="A403" s="11" t="s">
        <v>256</v>
      </c>
      <c r="B403" s="11">
        <v>17</v>
      </c>
      <c r="C403" s="11" t="s">
        <v>132</v>
      </c>
      <c r="D403" s="11" t="s">
        <v>216</v>
      </c>
      <c r="E403" s="19">
        <v>-42600</v>
      </c>
      <c r="F403" t="s">
        <v>133</v>
      </c>
    </row>
    <row r="404" spans="1:6" x14ac:dyDescent="0.25">
      <c r="A404" s="11" t="s">
        <v>256</v>
      </c>
      <c r="B404" s="11">
        <v>17</v>
      </c>
      <c r="C404" s="11" t="s">
        <v>132</v>
      </c>
      <c r="D404" s="11" t="s">
        <v>424</v>
      </c>
      <c r="E404" s="19">
        <v>141814.10999999999</v>
      </c>
      <c r="F404" t="s">
        <v>133</v>
      </c>
    </row>
    <row r="405" spans="1:6" x14ac:dyDescent="0.25">
      <c r="A405" s="11" t="s">
        <v>256</v>
      </c>
      <c r="B405" s="11">
        <v>17</v>
      </c>
      <c r="C405" s="11" t="s">
        <v>132</v>
      </c>
      <c r="D405" s="11" t="s">
        <v>421</v>
      </c>
      <c r="E405" s="19">
        <v>-750000</v>
      </c>
      <c r="F405" t="s">
        <v>133</v>
      </c>
    </row>
    <row r="406" spans="1:6" x14ac:dyDescent="0.25">
      <c r="A406" s="11" t="s">
        <v>256</v>
      </c>
      <c r="B406" s="11">
        <v>17</v>
      </c>
      <c r="C406" s="11" t="s">
        <v>134</v>
      </c>
      <c r="D406" s="11" t="s">
        <v>334</v>
      </c>
      <c r="E406" s="19">
        <v>1024000</v>
      </c>
      <c r="F406" t="s">
        <v>133</v>
      </c>
    </row>
    <row r="407" spans="1:6" x14ac:dyDescent="0.25">
      <c r="A407" s="11" t="s">
        <v>256</v>
      </c>
      <c r="B407" s="11">
        <v>17</v>
      </c>
      <c r="C407" s="11" t="s">
        <v>134</v>
      </c>
      <c r="D407" s="11" t="s">
        <v>197</v>
      </c>
      <c r="E407" s="19">
        <v>-200000</v>
      </c>
      <c r="F407" t="s">
        <v>133</v>
      </c>
    </row>
    <row r="408" spans="1:6" x14ac:dyDescent="0.25">
      <c r="A408" s="11" t="s">
        <v>256</v>
      </c>
      <c r="B408" s="11">
        <v>17</v>
      </c>
      <c r="C408" s="11" t="s">
        <v>134</v>
      </c>
      <c r="D408" s="11" t="s">
        <v>216</v>
      </c>
      <c r="E408" s="19">
        <v>-22720</v>
      </c>
      <c r="F408" t="s">
        <v>133</v>
      </c>
    </row>
    <row r="409" spans="1:6" x14ac:dyDescent="0.25">
      <c r="A409" s="11" t="s">
        <v>256</v>
      </c>
      <c r="B409" s="11">
        <v>17</v>
      </c>
      <c r="C409" s="11" t="s">
        <v>134</v>
      </c>
      <c r="D409" s="11" t="s">
        <v>424</v>
      </c>
      <c r="E409" s="19">
        <v>75634.19</v>
      </c>
      <c r="F409" t="s">
        <v>133</v>
      </c>
    </row>
    <row r="410" spans="1:6" x14ac:dyDescent="0.25">
      <c r="A410" s="11" t="s">
        <v>256</v>
      </c>
      <c r="B410" s="11">
        <v>17</v>
      </c>
      <c r="C410" s="11" t="s">
        <v>134</v>
      </c>
      <c r="D410" s="11" t="s">
        <v>421</v>
      </c>
      <c r="E410" s="19">
        <v>-400000</v>
      </c>
      <c r="F410" t="s">
        <v>133</v>
      </c>
    </row>
    <row r="411" spans="1:6" x14ac:dyDescent="0.25">
      <c r="A411" s="11" t="s">
        <v>256</v>
      </c>
      <c r="B411" s="11">
        <v>17</v>
      </c>
      <c r="C411" s="11" t="s">
        <v>135</v>
      </c>
      <c r="D411" s="11" t="s">
        <v>334</v>
      </c>
      <c r="E411" s="19">
        <v>896000</v>
      </c>
      <c r="F411" t="s">
        <v>133</v>
      </c>
    </row>
    <row r="412" spans="1:6" x14ac:dyDescent="0.25">
      <c r="A412" s="11" t="s">
        <v>256</v>
      </c>
      <c r="B412" s="11">
        <v>17</v>
      </c>
      <c r="C412" s="11" t="s">
        <v>135</v>
      </c>
      <c r="D412" s="11" t="s">
        <v>197</v>
      </c>
      <c r="E412" s="19">
        <v>-175000</v>
      </c>
      <c r="F412" t="s">
        <v>133</v>
      </c>
    </row>
    <row r="413" spans="1:6" x14ac:dyDescent="0.25">
      <c r="A413" s="11" t="s">
        <v>256</v>
      </c>
      <c r="B413" s="11">
        <v>17</v>
      </c>
      <c r="C413" s="11" t="s">
        <v>135</v>
      </c>
      <c r="D413" s="11" t="s">
        <v>216</v>
      </c>
      <c r="E413" s="19">
        <v>-19880</v>
      </c>
      <c r="F413" t="s">
        <v>133</v>
      </c>
    </row>
    <row r="414" spans="1:6" x14ac:dyDescent="0.25">
      <c r="A414" s="11" t="s">
        <v>256</v>
      </c>
      <c r="B414" s="11">
        <v>17</v>
      </c>
      <c r="C414" s="11" t="s">
        <v>135</v>
      </c>
      <c r="D414" s="11" t="s">
        <v>424</v>
      </c>
      <c r="E414" s="19">
        <v>66179.92</v>
      </c>
      <c r="F414" t="s">
        <v>133</v>
      </c>
    </row>
    <row r="415" spans="1:6" x14ac:dyDescent="0.25">
      <c r="A415" s="11" t="s">
        <v>256</v>
      </c>
      <c r="B415" s="11">
        <v>17</v>
      </c>
      <c r="C415" s="11" t="s">
        <v>135</v>
      </c>
      <c r="D415" s="11" t="s">
        <v>421</v>
      </c>
      <c r="E415" s="19">
        <v>-350000</v>
      </c>
      <c r="F415" t="s">
        <v>133</v>
      </c>
    </row>
    <row r="416" spans="1:6" x14ac:dyDescent="0.25">
      <c r="A416" s="11" t="s">
        <v>256</v>
      </c>
      <c r="B416" s="11">
        <v>17</v>
      </c>
      <c r="C416" s="11" t="s">
        <v>136</v>
      </c>
      <c r="D416" s="11" t="s">
        <v>334</v>
      </c>
      <c r="E416" s="19">
        <v>640000</v>
      </c>
      <c r="F416" t="s">
        <v>133</v>
      </c>
    </row>
    <row r="417" spans="1:6" x14ac:dyDescent="0.25">
      <c r="A417" s="11" t="s">
        <v>256</v>
      </c>
      <c r="B417" s="11">
        <v>17</v>
      </c>
      <c r="C417" s="11" t="s">
        <v>136</v>
      </c>
      <c r="D417" s="11" t="s">
        <v>197</v>
      </c>
      <c r="E417" s="19">
        <v>-125000</v>
      </c>
      <c r="F417" t="s">
        <v>133</v>
      </c>
    </row>
    <row r="418" spans="1:6" x14ac:dyDescent="0.25">
      <c r="A418" s="11" t="s">
        <v>256</v>
      </c>
      <c r="B418" s="11">
        <v>17</v>
      </c>
      <c r="C418" s="11" t="s">
        <v>136</v>
      </c>
      <c r="D418" s="11" t="s">
        <v>216</v>
      </c>
      <c r="E418" s="19">
        <v>-14200</v>
      </c>
      <c r="F418" t="s">
        <v>133</v>
      </c>
    </row>
    <row r="419" spans="1:6" x14ac:dyDescent="0.25">
      <c r="A419" s="11" t="s">
        <v>256</v>
      </c>
      <c r="B419" s="11">
        <v>17</v>
      </c>
      <c r="C419" s="11" t="s">
        <v>136</v>
      </c>
      <c r="D419" s="11" t="s">
        <v>424</v>
      </c>
      <c r="E419" s="19">
        <v>47271.37</v>
      </c>
      <c r="F419" t="s">
        <v>133</v>
      </c>
    </row>
    <row r="420" spans="1:6" x14ac:dyDescent="0.25">
      <c r="A420" s="11" t="s">
        <v>256</v>
      </c>
      <c r="B420" s="11">
        <v>17</v>
      </c>
      <c r="C420" s="11" t="s">
        <v>136</v>
      </c>
      <c r="D420" s="11" t="s">
        <v>421</v>
      </c>
      <c r="E420" s="19">
        <v>-250000</v>
      </c>
      <c r="F420" t="s">
        <v>133</v>
      </c>
    </row>
    <row r="421" spans="1:6" x14ac:dyDescent="0.25">
      <c r="A421" s="11" t="s">
        <v>256</v>
      </c>
      <c r="B421" s="11">
        <v>17</v>
      </c>
      <c r="C421" s="11" t="s">
        <v>137</v>
      </c>
      <c r="D421" s="11" t="s">
        <v>334</v>
      </c>
      <c r="E421" s="19">
        <v>768000</v>
      </c>
      <c r="F421" t="s">
        <v>133</v>
      </c>
    </row>
    <row r="422" spans="1:6" x14ac:dyDescent="0.25">
      <c r="A422" s="11" t="s">
        <v>256</v>
      </c>
      <c r="B422" s="11">
        <v>17</v>
      </c>
      <c r="C422" s="11" t="s">
        <v>137</v>
      </c>
      <c r="D422" s="11" t="s">
        <v>197</v>
      </c>
      <c r="E422" s="19">
        <v>-150000</v>
      </c>
      <c r="F422" t="s">
        <v>133</v>
      </c>
    </row>
    <row r="423" spans="1:6" x14ac:dyDescent="0.25">
      <c r="A423" s="11" t="s">
        <v>256</v>
      </c>
      <c r="B423" s="11">
        <v>17</v>
      </c>
      <c r="C423" s="11" t="s">
        <v>137</v>
      </c>
      <c r="D423" s="11" t="s">
        <v>216</v>
      </c>
      <c r="E423" s="19">
        <v>-17040</v>
      </c>
      <c r="F423" t="s">
        <v>133</v>
      </c>
    </row>
    <row r="424" spans="1:6" x14ac:dyDescent="0.25">
      <c r="A424" s="11" t="s">
        <v>256</v>
      </c>
      <c r="B424" s="11">
        <v>17</v>
      </c>
      <c r="C424" s="11" t="s">
        <v>137</v>
      </c>
      <c r="D424" s="11" t="s">
        <v>424</v>
      </c>
      <c r="E424" s="19">
        <v>56725.64</v>
      </c>
      <c r="F424" t="s">
        <v>133</v>
      </c>
    </row>
    <row r="425" spans="1:6" x14ac:dyDescent="0.25">
      <c r="A425" s="11" t="s">
        <v>256</v>
      </c>
      <c r="B425" s="11">
        <v>17</v>
      </c>
      <c r="C425" s="11" t="s">
        <v>137</v>
      </c>
      <c r="D425" s="11" t="s">
        <v>421</v>
      </c>
      <c r="E425" s="19">
        <v>-300000</v>
      </c>
      <c r="F425" t="s">
        <v>133</v>
      </c>
    </row>
    <row r="426" spans="1:6" x14ac:dyDescent="0.25">
      <c r="A426" s="11" t="s">
        <v>256</v>
      </c>
      <c r="B426" s="11">
        <v>17</v>
      </c>
      <c r="C426" s="11" t="s">
        <v>139</v>
      </c>
      <c r="D426" s="11" t="s">
        <v>334</v>
      </c>
      <c r="E426" s="19">
        <v>1024000</v>
      </c>
      <c r="F426" t="s">
        <v>133</v>
      </c>
    </row>
    <row r="427" spans="1:6" x14ac:dyDescent="0.25">
      <c r="A427" s="11" t="s">
        <v>256</v>
      </c>
      <c r="B427" s="11">
        <v>17</v>
      </c>
      <c r="C427" s="11" t="s">
        <v>139</v>
      </c>
      <c r="D427" s="11" t="s">
        <v>197</v>
      </c>
      <c r="E427" s="19">
        <v>-200000</v>
      </c>
      <c r="F427" t="s">
        <v>133</v>
      </c>
    </row>
    <row r="428" spans="1:6" x14ac:dyDescent="0.25">
      <c r="A428" s="11" t="s">
        <v>256</v>
      </c>
      <c r="B428" s="11">
        <v>17</v>
      </c>
      <c r="C428" s="11" t="s">
        <v>139</v>
      </c>
      <c r="D428" s="11" t="s">
        <v>216</v>
      </c>
      <c r="E428" s="19">
        <v>-22720</v>
      </c>
      <c r="F428" t="s">
        <v>133</v>
      </c>
    </row>
    <row r="429" spans="1:6" x14ac:dyDescent="0.25">
      <c r="A429" s="11" t="s">
        <v>256</v>
      </c>
      <c r="B429" s="11">
        <v>17</v>
      </c>
      <c r="C429" s="11" t="s">
        <v>139</v>
      </c>
      <c r="D429" s="11" t="s">
        <v>424</v>
      </c>
      <c r="E429" s="19">
        <v>75634.2</v>
      </c>
      <c r="F429" t="s">
        <v>133</v>
      </c>
    </row>
    <row r="430" spans="1:6" x14ac:dyDescent="0.25">
      <c r="A430" s="11" t="s">
        <v>256</v>
      </c>
      <c r="B430" s="11">
        <v>17</v>
      </c>
      <c r="C430" s="11" t="s">
        <v>139</v>
      </c>
      <c r="D430" s="11" t="s">
        <v>421</v>
      </c>
      <c r="E430" s="19">
        <v>-400000</v>
      </c>
      <c r="F430" t="s">
        <v>133</v>
      </c>
    </row>
    <row r="431" spans="1:6" x14ac:dyDescent="0.25">
      <c r="A431" s="11" t="s">
        <v>257</v>
      </c>
      <c r="B431" s="11">
        <v>18</v>
      </c>
      <c r="C431" s="11" t="s">
        <v>72</v>
      </c>
      <c r="D431" s="11" t="s">
        <v>334</v>
      </c>
      <c r="E431" s="19">
        <v>108000</v>
      </c>
      <c r="F431" t="s">
        <v>131</v>
      </c>
    </row>
    <row r="432" spans="1:6" x14ac:dyDescent="0.25">
      <c r="A432" s="11" t="s">
        <v>257</v>
      </c>
      <c r="B432" s="11">
        <v>18</v>
      </c>
      <c r="C432" s="11" t="s">
        <v>72</v>
      </c>
      <c r="D432" s="11" t="s">
        <v>216</v>
      </c>
      <c r="E432" s="19">
        <v>-2840</v>
      </c>
      <c r="F432" t="s">
        <v>131</v>
      </c>
    </row>
    <row r="433" spans="1:6" x14ac:dyDescent="0.25">
      <c r="A433" s="11" t="s">
        <v>257</v>
      </c>
      <c r="B433" s="11">
        <v>18</v>
      </c>
      <c r="C433" s="11" t="s">
        <v>72</v>
      </c>
      <c r="D433" s="11" t="s">
        <v>424</v>
      </c>
      <c r="E433" s="19">
        <v>9737.9</v>
      </c>
      <c r="F433" t="s">
        <v>131</v>
      </c>
    </row>
    <row r="434" spans="1:6" x14ac:dyDescent="0.25">
      <c r="A434" s="11" t="s">
        <v>257</v>
      </c>
      <c r="B434" s="11">
        <v>18</v>
      </c>
      <c r="C434" s="11" t="s">
        <v>132</v>
      </c>
      <c r="D434" s="11" t="s">
        <v>334</v>
      </c>
      <c r="E434" s="19">
        <v>1620000</v>
      </c>
      <c r="F434" t="s">
        <v>133</v>
      </c>
    </row>
    <row r="435" spans="1:6" x14ac:dyDescent="0.25">
      <c r="A435" s="11" t="s">
        <v>257</v>
      </c>
      <c r="B435" s="11">
        <v>18</v>
      </c>
      <c r="C435" s="11" t="s">
        <v>132</v>
      </c>
      <c r="D435" s="11" t="s">
        <v>197</v>
      </c>
      <c r="E435" s="19">
        <v>-375000</v>
      </c>
      <c r="F435" t="s">
        <v>133</v>
      </c>
    </row>
    <row r="436" spans="1:6" x14ac:dyDescent="0.25">
      <c r="A436" s="11" t="s">
        <v>257</v>
      </c>
      <c r="B436" s="11">
        <v>18</v>
      </c>
      <c r="C436" s="11" t="s">
        <v>132</v>
      </c>
      <c r="D436" s="11" t="s">
        <v>216</v>
      </c>
      <c r="E436" s="19">
        <v>-42600</v>
      </c>
      <c r="F436" t="s">
        <v>133</v>
      </c>
    </row>
    <row r="437" spans="1:6" x14ac:dyDescent="0.25">
      <c r="A437" s="11" t="s">
        <v>257</v>
      </c>
      <c r="B437" s="11">
        <v>18</v>
      </c>
      <c r="C437" s="11" t="s">
        <v>132</v>
      </c>
      <c r="D437" s="11" t="s">
        <v>424</v>
      </c>
      <c r="E437" s="19">
        <v>146068.53</v>
      </c>
      <c r="F437" t="s">
        <v>133</v>
      </c>
    </row>
    <row r="438" spans="1:6" x14ac:dyDescent="0.25">
      <c r="A438" s="11" t="s">
        <v>257</v>
      </c>
      <c r="B438" s="11">
        <v>18</v>
      </c>
      <c r="C438" s="11" t="s">
        <v>134</v>
      </c>
      <c r="D438" s="11" t="s">
        <v>334</v>
      </c>
      <c r="E438" s="19">
        <v>864000</v>
      </c>
      <c r="F438" t="s">
        <v>133</v>
      </c>
    </row>
    <row r="439" spans="1:6" x14ac:dyDescent="0.25">
      <c r="A439" s="11" t="s">
        <v>257</v>
      </c>
      <c r="B439" s="11">
        <v>18</v>
      </c>
      <c r="C439" s="11" t="s">
        <v>134</v>
      </c>
      <c r="D439" s="11" t="s">
        <v>197</v>
      </c>
      <c r="E439" s="19">
        <v>-200000</v>
      </c>
      <c r="F439" t="s">
        <v>133</v>
      </c>
    </row>
    <row r="440" spans="1:6" x14ac:dyDescent="0.25">
      <c r="A440" s="11" t="s">
        <v>257</v>
      </c>
      <c r="B440" s="11">
        <v>18</v>
      </c>
      <c r="C440" s="11" t="s">
        <v>134</v>
      </c>
      <c r="D440" s="11" t="s">
        <v>216</v>
      </c>
      <c r="E440" s="19">
        <v>-22720</v>
      </c>
      <c r="F440" t="s">
        <v>133</v>
      </c>
    </row>
    <row r="441" spans="1:6" x14ac:dyDescent="0.25">
      <c r="A441" s="11" t="s">
        <v>257</v>
      </c>
      <c r="B441" s="11">
        <v>18</v>
      </c>
      <c r="C441" s="11" t="s">
        <v>134</v>
      </c>
      <c r="D441" s="11" t="s">
        <v>424</v>
      </c>
      <c r="E441" s="19">
        <v>77903.22</v>
      </c>
      <c r="F441" t="s">
        <v>133</v>
      </c>
    </row>
    <row r="442" spans="1:6" x14ac:dyDescent="0.25">
      <c r="A442" s="11" t="s">
        <v>257</v>
      </c>
      <c r="B442" s="11">
        <v>18</v>
      </c>
      <c r="C442" s="11" t="s">
        <v>135</v>
      </c>
      <c r="D442" s="11" t="s">
        <v>334</v>
      </c>
      <c r="E442" s="19">
        <v>756000</v>
      </c>
      <c r="F442" t="s">
        <v>133</v>
      </c>
    </row>
    <row r="443" spans="1:6" x14ac:dyDescent="0.25">
      <c r="A443" s="11" t="s">
        <v>257</v>
      </c>
      <c r="B443" s="11">
        <v>18</v>
      </c>
      <c r="C443" s="11" t="s">
        <v>135</v>
      </c>
      <c r="D443" s="11" t="s">
        <v>197</v>
      </c>
      <c r="E443" s="19">
        <v>-175000</v>
      </c>
      <c r="F443" t="s">
        <v>133</v>
      </c>
    </row>
    <row r="444" spans="1:6" x14ac:dyDescent="0.25">
      <c r="A444" s="11" t="s">
        <v>257</v>
      </c>
      <c r="B444" s="11">
        <v>18</v>
      </c>
      <c r="C444" s="11" t="s">
        <v>135</v>
      </c>
      <c r="D444" s="11" t="s">
        <v>216</v>
      </c>
      <c r="E444" s="19">
        <v>-19880</v>
      </c>
      <c r="F444" t="s">
        <v>133</v>
      </c>
    </row>
    <row r="445" spans="1:6" x14ac:dyDescent="0.25">
      <c r="A445" s="11" t="s">
        <v>257</v>
      </c>
      <c r="B445" s="11">
        <v>18</v>
      </c>
      <c r="C445" s="11" t="s">
        <v>135</v>
      </c>
      <c r="D445" s="11" t="s">
        <v>424</v>
      </c>
      <c r="E445" s="19">
        <v>68165.320000000007</v>
      </c>
      <c r="F445" t="s">
        <v>133</v>
      </c>
    </row>
    <row r="446" spans="1:6" x14ac:dyDescent="0.25">
      <c r="A446" s="11" t="s">
        <v>257</v>
      </c>
      <c r="B446" s="11">
        <v>18</v>
      </c>
      <c r="C446" s="11" t="s">
        <v>136</v>
      </c>
      <c r="D446" s="11" t="s">
        <v>334</v>
      </c>
      <c r="E446" s="19">
        <v>540000</v>
      </c>
      <c r="F446" t="s">
        <v>133</v>
      </c>
    </row>
    <row r="447" spans="1:6" x14ac:dyDescent="0.25">
      <c r="A447" s="11" t="s">
        <v>257</v>
      </c>
      <c r="B447" s="11">
        <v>18</v>
      </c>
      <c r="C447" s="11" t="s">
        <v>136</v>
      </c>
      <c r="D447" s="11" t="s">
        <v>197</v>
      </c>
      <c r="E447" s="19">
        <v>-125000</v>
      </c>
      <c r="F447" t="s">
        <v>133</v>
      </c>
    </row>
    <row r="448" spans="1:6" x14ac:dyDescent="0.25">
      <c r="A448" s="11" t="s">
        <v>257</v>
      </c>
      <c r="B448" s="11">
        <v>18</v>
      </c>
      <c r="C448" s="11" t="s">
        <v>136</v>
      </c>
      <c r="D448" s="11" t="s">
        <v>216</v>
      </c>
      <c r="E448" s="19">
        <v>-14200</v>
      </c>
      <c r="F448" t="s">
        <v>133</v>
      </c>
    </row>
    <row r="449" spans="1:6" x14ac:dyDescent="0.25">
      <c r="A449" s="11" t="s">
        <v>257</v>
      </c>
      <c r="B449" s="11">
        <v>18</v>
      </c>
      <c r="C449" s="11" t="s">
        <v>136</v>
      </c>
      <c r="D449" s="11" t="s">
        <v>424</v>
      </c>
      <c r="E449" s="19">
        <v>48689.51</v>
      </c>
      <c r="F449" t="s">
        <v>133</v>
      </c>
    </row>
    <row r="450" spans="1:6" x14ac:dyDescent="0.25">
      <c r="A450" s="11" t="s">
        <v>257</v>
      </c>
      <c r="B450" s="11">
        <v>18</v>
      </c>
      <c r="C450" s="11" t="s">
        <v>137</v>
      </c>
      <c r="D450" s="11" t="s">
        <v>334</v>
      </c>
      <c r="E450" s="19">
        <v>648000</v>
      </c>
      <c r="F450" t="s">
        <v>133</v>
      </c>
    </row>
    <row r="451" spans="1:6" x14ac:dyDescent="0.25">
      <c r="A451" s="11" t="s">
        <v>257</v>
      </c>
      <c r="B451" s="11">
        <v>18</v>
      </c>
      <c r="C451" s="11" t="s">
        <v>137</v>
      </c>
      <c r="D451" s="11" t="s">
        <v>197</v>
      </c>
      <c r="E451" s="19">
        <v>-150000</v>
      </c>
      <c r="F451" t="s">
        <v>133</v>
      </c>
    </row>
    <row r="452" spans="1:6" x14ac:dyDescent="0.25">
      <c r="A452" s="11" t="s">
        <v>257</v>
      </c>
      <c r="B452" s="11">
        <v>18</v>
      </c>
      <c r="C452" s="11" t="s">
        <v>137</v>
      </c>
      <c r="D452" s="11" t="s">
        <v>216</v>
      </c>
      <c r="E452" s="19">
        <v>-17040</v>
      </c>
      <c r="F452" t="s">
        <v>133</v>
      </c>
    </row>
    <row r="453" spans="1:6" x14ac:dyDescent="0.25">
      <c r="A453" s="11" t="s">
        <v>257</v>
      </c>
      <c r="B453" s="11">
        <v>18</v>
      </c>
      <c r="C453" s="11" t="s">
        <v>137</v>
      </c>
      <c r="D453" s="11" t="s">
        <v>424</v>
      </c>
      <c r="E453" s="19">
        <v>58427.41</v>
      </c>
      <c r="F453" t="s">
        <v>133</v>
      </c>
    </row>
    <row r="454" spans="1:6" x14ac:dyDescent="0.25">
      <c r="A454" s="11" t="s">
        <v>257</v>
      </c>
      <c r="B454" s="11">
        <v>18</v>
      </c>
      <c r="C454" s="11" t="s">
        <v>139</v>
      </c>
      <c r="D454" s="11" t="s">
        <v>334</v>
      </c>
      <c r="E454" s="19">
        <v>864000</v>
      </c>
      <c r="F454" t="s">
        <v>133</v>
      </c>
    </row>
    <row r="455" spans="1:6" x14ac:dyDescent="0.25">
      <c r="A455" s="11" t="s">
        <v>257</v>
      </c>
      <c r="B455" s="11">
        <v>18</v>
      </c>
      <c r="C455" s="11" t="s">
        <v>139</v>
      </c>
      <c r="D455" s="11" t="s">
        <v>197</v>
      </c>
      <c r="E455" s="19">
        <v>-200000</v>
      </c>
      <c r="F455" t="s">
        <v>133</v>
      </c>
    </row>
    <row r="456" spans="1:6" x14ac:dyDescent="0.25">
      <c r="A456" s="11" t="s">
        <v>257</v>
      </c>
      <c r="B456" s="11">
        <v>18</v>
      </c>
      <c r="C456" s="11" t="s">
        <v>139</v>
      </c>
      <c r="D456" s="11" t="s">
        <v>216</v>
      </c>
      <c r="E456" s="19">
        <v>-22720</v>
      </c>
      <c r="F456" t="s">
        <v>133</v>
      </c>
    </row>
    <row r="457" spans="1:6" x14ac:dyDescent="0.25">
      <c r="A457" s="11" t="s">
        <v>257</v>
      </c>
      <c r="B457" s="11">
        <v>18</v>
      </c>
      <c r="C457" s="11" t="s">
        <v>139</v>
      </c>
      <c r="D457" s="11" t="s">
        <v>424</v>
      </c>
      <c r="E457" s="19">
        <v>77903.22</v>
      </c>
      <c r="F457" t="s">
        <v>133</v>
      </c>
    </row>
    <row r="458" spans="1:6" x14ac:dyDescent="0.25">
      <c r="A458" s="11" t="s">
        <v>258</v>
      </c>
      <c r="B458" s="11">
        <v>19</v>
      </c>
      <c r="C458" s="11" t="s">
        <v>72</v>
      </c>
      <c r="D458" s="11" t="s">
        <v>334</v>
      </c>
      <c r="E458" s="19">
        <v>26000</v>
      </c>
      <c r="F458" t="s">
        <v>131</v>
      </c>
    </row>
    <row r="459" spans="1:6" x14ac:dyDescent="0.25">
      <c r="A459" s="11" t="s">
        <v>258</v>
      </c>
      <c r="B459" s="11">
        <v>19</v>
      </c>
      <c r="C459" s="11" t="s">
        <v>72</v>
      </c>
      <c r="D459" s="11" t="s">
        <v>216</v>
      </c>
      <c r="E459" s="19">
        <v>-2840</v>
      </c>
      <c r="F459" t="s">
        <v>131</v>
      </c>
    </row>
    <row r="460" spans="1:6" x14ac:dyDescent="0.25">
      <c r="A460" s="11" t="s">
        <v>258</v>
      </c>
      <c r="B460" s="11">
        <v>19</v>
      </c>
      <c r="C460" s="11" t="s">
        <v>72</v>
      </c>
      <c r="D460" s="11" t="s">
        <v>424</v>
      </c>
      <c r="E460" s="19">
        <v>10030.040000000001</v>
      </c>
      <c r="F460" t="s">
        <v>131</v>
      </c>
    </row>
    <row r="461" spans="1:6" x14ac:dyDescent="0.25">
      <c r="A461" s="11" t="s">
        <v>258</v>
      </c>
      <c r="B461" s="11">
        <v>19</v>
      </c>
      <c r="C461" s="11" t="s">
        <v>72</v>
      </c>
      <c r="D461" s="11" t="s">
        <v>421</v>
      </c>
      <c r="E461" s="19">
        <v>670000</v>
      </c>
      <c r="F461" t="s">
        <v>131</v>
      </c>
    </row>
    <row r="462" spans="1:6" x14ac:dyDescent="0.25">
      <c r="A462" s="11" t="s">
        <v>258</v>
      </c>
      <c r="B462" s="11">
        <v>19</v>
      </c>
      <c r="C462" s="11" t="s">
        <v>132</v>
      </c>
      <c r="D462" s="11" t="s">
        <v>334</v>
      </c>
      <c r="E462" s="19">
        <v>390000</v>
      </c>
      <c r="F462" t="s">
        <v>133</v>
      </c>
    </row>
    <row r="463" spans="1:6" x14ac:dyDescent="0.25">
      <c r="A463" s="11" t="s">
        <v>258</v>
      </c>
      <c r="B463" s="11">
        <v>19</v>
      </c>
      <c r="C463" s="11" t="s">
        <v>132</v>
      </c>
      <c r="D463" s="11" t="s">
        <v>197</v>
      </c>
      <c r="E463" s="19">
        <v>-252551.02</v>
      </c>
      <c r="F463" t="s">
        <v>133</v>
      </c>
    </row>
    <row r="464" spans="1:6" x14ac:dyDescent="0.25">
      <c r="A464" s="11" t="s">
        <v>258</v>
      </c>
      <c r="B464" s="11">
        <v>19</v>
      </c>
      <c r="C464" s="11" t="s">
        <v>132</v>
      </c>
      <c r="D464" s="11" t="s">
        <v>216</v>
      </c>
      <c r="E464" s="19">
        <v>-42600</v>
      </c>
      <c r="F464" t="s">
        <v>133</v>
      </c>
    </row>
    <row r="465" spans="1:6" x14ac:dyDescent="0.25">
      <c r="A465" s="11" t="s">
        <v>258</v>
      </c>
      <c r="B465" s="11">
        <v>19</v>
      </c>
      <c r="C465" s="11" t="s">
        <v>132</v>
      </c>
      <c r="D465" s="11" t="s">
        <v>424</v>
      </c>
      <c r="E465" s="19">
        <v>150450.59</v>
      </c>
      <c r="F465" t="s">
        <v>133</v>
      </c>
    </row>
    <row r="466" spans="1:6" x14ac:dyDescent="0.25">
      <c r="A466" s="11" t="s">
        <v>258</v>
      </c>
      <c r="B466" s="11">
        <v>19</v>
      </c>
      <c r="C466" s="11" t="s">
        <v>132</v>
      </c>
      <c r="D466" s="11" t="s">
        <v>421</v>
      </c>
      <c r="E466" s="19">
        <v>10050000</v>
      </c>
      <c r="F466" t="s">
        <v>133</v>
      </c>
    </row>
    <row r="467" spans="1:6" x14ac:dyDescent="0.25">
      <c r="A467" s="11" t="s">
        <v>258</v>
      </c>
      <c r="B467" s="11">
        <v>19</v>
      </c>
      <c r="C467" s="11" t="s">
        <v>134</v>
      </c>
      <c r="D467" s="11" t="s">
        <v>334</v>
      </c>
      <c r="E467" s="19">
        <v>208000</v>
      </c>
      <c r="F467" t="s">
        <v>133</v>
      </c>
    </row>
    <row r="468" spans="1:6" x14ac:dyDescent="0.25">
      <c r="A468" s="11" t="s">
        <v>258</v>
      </c>
      <c r="B468" s="11">
        <v>19</v>
      </c>
      <c r="C468" s="11" t="s">
        <v>134</v>
      </c>
      <c r="D468" s="11" t="s">
        <v>197</v>
      </c>
      <c r="E468" s="19">
        <v>-134693.88</v>
      </c>
      <c r="F468" t="s">
        <v>133</v>
      </c>
    </row>
    <row r="469" spans="1:6" x14ac:dyDescent="0.25">
      <c r="A469" s="11" t="s">
        <v>258</v>
      </c>
      <c r="B469" s="11">
        <v>19</v>
      </c>
      <c r="C469" s="11" t="s">
        <v>134</v>
      </c>
      <c r="D469" s="11" t="s">
        <v>216</v>
      </c>
      <c r="E469" s="19">
        <v>-22720</v>
      </c>
      <c r="F469" t="s">
        <v>133</v>
      </c>
    </row>
    <row r="470" spans="1:6" x14ac:dyDescent="0.25">
      <c r="A470" s="11" t="s">
        <v>258</v>
      </c>
      <c r="B470" s="11">
        <v>19</v>
      </c>
      <c r="C470" s="11" t="s">
        <v>134</v>
      </c>
      <c r="D470" s="11" t="s">
        <v>424</v>
      </c>
      <c r="E470" s="19">
        <v>80240.31</v>
      </c>
      <c r="F470" t="s">
        <v>133</v>
      </c>
    </row>
    <row r="471" spans="1:6" x14ac:dyDescent="0.25">
      <c r="A471" s="11" t="s">
        <v>258</v>
      </c>
      <c r="B471" s="11">
        <v>19</v>
      </c>
      <c r="C471" s="11" t="s">
        <v>134</v>
      </c>
      <c r="D471" s="11" t="s">
        <v>421</v>
      </c>
      <c r="E471" s="19">
        <v>5360000</v>
      </c>
      <c r="F471" t="s">
        <v>133</v>
      </c>
    </row>
    <row r="472" spans="1:6" x14ac:dyDescent="0.25">
      <c r="A472" s="11" t="s">
        <v>258</v>
      </c>
      <c r="B472" s="11">
        <v>19</v>
      </c>
      <c r="C472" s="11" t="s">
        <v>135</v>
      </c>
      <c r="D472" s="11" t="s">
        <v>334</v>
      </c>
      <c r="E472" s="19">
        <v>182000</v>
      </c>
      <c r="F472" t="s">
        <v>133</v>
      </c>
    </row>
    <row r="473" spans="1:6" x14ac:dyDescent="0.25">
      <c r="A473" s="11" t="s">
        <v>258</v>
      </c>
      <c r="B473" s="11">
        <v>19</v>
      </c>
      <c r="C473" s="11" t="s">
        <v>135</v>
      </c>
      <c r="D473" s="11" t="s">
        <v>197</v>
      </c>
      <c r="E473" s="19">
        <v>-117857.14</v>
      </c>
      <c r="F473" t="s">
        <v>133</v>
      </c>
    </row>
    <row r="474" spans="1:6" x14ac:dyDescent="0.25">
      <c r="A474" s="11" t="s">
        <v>258</v>
      </c>
      <c r="B474" s="11">
        <v>19</v>
      </c>
      <c r="C474" s="11" t="s">
        <v>135</v>
      </c>
      <c r="D474" s="11" t="s">
        <v>216</v>
      </c>
      <c r="E474" s="19">
        <v>-19880</v>
      </c>
      <c r="F474" t="s">
        <v>133</v>
      </c>
    </row>
    <row r="475" spans="1:6" x14ac:dyDescent="0.25">
      <c r="A475" s="11" t="s">
        <v>258</v>
      </c>
      <c r="B475" s="11">
        <v>19</v>
      </c>
      <c r="C475" s="11" t="s">
        <v>135</v>
      </c>
      <c r="D475" s="11" t="s">
        <v>424</v>
      </c>
      <c r="E475" s="19">
        <v>70210.27</v>
      </c>
      <c r="F475" t="s">
        <v>133</v>
      </c>
    </row>
    <row r="476" spans="1:6" x14ac:dyDescent="0.25">
      <c r="A476" s="11" t="s">
        <v>258</v>
      </c>
      <c r="B476" s="11">
        <v>19</v>
      </c>
      <c r="C476" s="11" t="s">
        <v>135</v>
      </c>
      <c r="D476" s="11" t="s">
        <v>421</v>
      </c>
      <c r="E476" s="19">
        <v>4690000</v>
      </c>
      <c r="F476" t="s">
        <v>133</v>
      </c>
    </row>
    <row r="477" spans="1:6" x14ac:dyDescent="0.25">
      <c r="A477" s="11" t="s">
        <v>258</v>
      </c>
      <c r="B477" s="11">
        <v>19</v>
      </c>
      <c r="C477" s="11" t="s">
        <v>136</v>
      </c>
      <c r="D477" s="11" t="s">
        <v>334</v>
      </c>
      <c r="E477" s="19">
        <v>130000</v>
      </c>
      <c r="F477" t="s">
        <v>133</v>
      </c>
    </row>
    <row r="478" spans="1:6" x14ac:dyDescent="0.25">
      <c r="A478" s="11" t="s">
        <v>258</v>
      </c>
      <c r="B478" s="11">
        <v>19</v>
      </c>
      <c r="C478" s="11" t="s">
        <v>136</v>
      </c>
      <c r="D478" s="11" t="s">
        <v>197</v>
      </c>
      <c r="E478" s="19">
        <v>-84183.67</v>
      </c>
      <c r="F478" t="s">
        <v>133</v>
      </c>
    </row>
    <row r="479" spans="1:6" x14ac:dyDescent="0.25">
      <c r="A479" s="11" t="s">
        <v>258</v>
      </c>
      <c r="B479" s="11">
        <v>19</v>
      </c>
      <c r="C479" s="11" t="s">
        <v>136</v>
      </c>
      <c r="D479" s="11" t="s">
        <v>216</v>
      </c>
      <c r="E479" s="19">
        <v>-14200</v>
      </c>
      <c r="F479" t="s">
        <v>133</v>
      </c>
    </row>
    <row r="480" spans="1:6" x14ac:dyDescent="0.25">
      <c r="A480" s="11" t="s">
        <v>258</v>
      </c>
      <c r="B480" s="11">
        <v>19</v>
      </c>
      <c r="C480" s="11" t="s">
        <v>136</v>
      </c>
      <c r="D480" s="11" t="s">
        <v>424</v>
      </c>
      <c r="E480" s="19">
        <v>50150.2</v>
      </c>
      <c r="F480" t="s">
        <v>133</v>
      </c>
    </row>
    <row r="481" spans="1:6" x14ac:dyDescent="0.25">
      <c r="A481" s="11" t="s">
        <v>258</v>
      </c>
      <c r="B481" s="11">
        <v>19</v>
      </c>
      <c r="C481" s="11" t="s">
        <v>136</v>
      </c>
      <c r="D481" s="11" t="s">
        <v>421</v>
      </c>
      <c r="E481" s="19">
        <v>3350000</v>
      </c>
      <c r="F481" t="s">
        <v>133</v>
      </c>
    </row>
    <row r="482" spans="1:6" x14ac:dyDescent="0.25">
      <c r="A482" s="11" t="s">
        <v>258</v>
      </c>
      <c r="B482" s="11">
        <v>19</v>
      </c>
      <c r="C482" s="11" t="s">
        <v>137</v>
      </c>
      <c r="D482" s="11" t="s">
        <v>334</v>
      </c>
      <c r="E482" s="19">
        <v>156000</v>
      </c>
      <c r="F482" t="s">
        <v>133</v>
      </c>
    </row>
    <row r="483" spans="1:6" x14ac:dyDescent="0.25">
      <c r="A483" s="11" t="s">
        <v>258</v>
      </c>
      <c r="B483" s="11">
        <v>19</v>
      </c>
      <c r="C483" s="11" t="s">
        <v>137</v>
      </c>
      <c r="D483" s="11" t="s">
        <v>197</v>
      </c>
      <c r="E483" s="19">
        <v>-101020.41</v>
      </c>
      <c r="F483" t="s">
        <v>133</v>
      </c>
    </row>
    <row r="484" spans="1:6" x14ac:dyDescent="0.25">
      <c r="A484" s="11" t="s">
        <v>258</v>
      </c>
      <c r="B484" s="11">
        <v>19</v>
      </c>
      <c r="C484" s="11" t="s">
        <v>137</v>
      </c>
      <c r="D484" s="11" t="s">
        <v>216</v>
      </c>
      <c r="E484" s="19">
        <v>-17040</v>
      </c>
      <c r="F484" t="s">
        <v>133</v>
      </c>
    </row>
    <row r="485" spans="1:6" x14ac:dyDescent="0.25">
      <c r="A485" s="11" t="s">
        <v>258</v>
      </c>
      <c r="B485" s="11">
        <v>19</v>
      </c>
      <c r="C485" s="11" t="s">
        <v>137</v>
      </c>
      <c r="D485" s="11" t="s">
        <v>424</v>
      </c>
      <c r="E485" s="19">
        <v>60180.24</v>
      </c>
      <c r="F485" t="s">
        <v>133</v>
      </c>
    </row>
    <row r="486" spans="1:6" x14ac:dyDescent="0.25">
      <c r="A486" s="11" t="s">
        <v>258</v>
      </c>
      <c r="B486" s="11">
        <v>19</v>
      </c>
      <c r="C486" s="11" t="s">
        <v>137</v>
      </c>
      <c r="D486" s="11" t="s">
        <v>421</v>
      </c>
      <c r="E486" s="19">
        <v>4020000</v>
      </c>
      <c r="F486" t="s">
        <v>133</v>
      </c>
    </row>
    <row r="487" spans="1:6" x14ac:dyDescent="0.25">
      <c r="A487" s="11" t="s">
        <v>258</v>
      </c>
      <c r="B487" s="11">
        <v>19</v>
      </c>
      <c r="C487" s="11" t="s">
        <v>139</v>
      </c>
      <c r="D487" s="11" t="s">
        <v>334</v>
      </c>
      <c r="E487" s="19">
        <v>208000</v>
      </c>
      <c r="F487" t="s">
        <v>133</v>
      </c>
    </row>
    <row r="488" spans="1:6" x14ac:dyDescent="0.25">
      <c r="A488" s="11" t="s">
        <v>258</v>
      </c>
      <c r="B488" s="11">
        <v>19</v>
      </c>
      <c r="C488" s="11" t="s">
        <v>139</v>
      </c>
      <c r="D488" s="11" t="s">
        <v>197</v>
      </c>
      <c r="E488" s="19">
        <v>-134693.88</v>
      </c>
      <c r="F488" t="s">
        <v>133</v>
      </c>
    </row>
    <row r="489" spans="1:6" x14ac:dyDescent="0.25">
      <c r="A489" s="11" t="s">
        <v>258</v>
      </c>
      <c r="B489" s="11">
        <v>19</v>
      </c>
      <c r="C489" s="11" t="s">
        <v>139</v>
      </c>
      <c r="D489" s="11" t="s">
        <v>216</v>
      </c>
      <c r="E489" s="19">
        <v>-22720</v>
      </c>
      <c r="F489" t="s">
        <v>133</v>
      </c>
    </row>
    <row r="490" spans="1:6" x14ac:dyDescent="0.25">
      <c r="A490" s="11" t="s">
        <v>258</v>
      </c>
      <c r="B490" s="11">
        <v>19</v>
      </c>
      <c r="C490" s="11" t="s">
        <v>139</v>
      </c>
      <c r="D490" s="11" t="s">
        <v>424</v>
      </c>
      <c r="E490" s="19">
        <v>80240.31</v>
      </c>
      <c r="F490" t="s">
        <v>133</v>
      </c>
    </row>
    <row r="491" spans="1:6" x14ac:dyDescent="0.25">
      <c r="A491" s="11" t="s">
        <v>258</v>
      </c>
      <c r="B491" s="11">
        <v>19</v>
      </c>
      <c r="C491" s="11" t="s">
        <v>139</v>
      </c>
      <c r="D491" s="11" t="s">
        <v>421</v>
      </c>
      <c r="E491" s="19">
        <v>5360000</v>
      </c>
      <c r="F491" t="s">
        <v>133</v>
      </c>
    </row>
    <row r="492" spans="1:6" x14ac:dyDescent="0.25">
      <c r="A492" s="11" t="s">
        <v>259</v>
      </c>
      <c r="B492" s="11">
        <v>20</v>
      </c>
      <c r="C492" s="11" t="s">
        <v>72</v>
      </c>
      <c r="D492" s="11" t="s">
        <v>334</v>
      </c>
      <c r="E492" s="19">
        <v>12000</v>
      </c>
      <c r="F492" t="s">
        <v>131</v>
      </c>
    </row>
    <row r="493" spans="1:6" x14ac:dyDescent="0.25">
      <c r="A493" s="11" t="s">
        <v>259</v>
      </c>
      <c r="B493" s="11">
        <v>20</v>
      </c>
      <c r="C493" s="11" t="s">
        <v>72</v>
      </c>
      <c r="D493" s="11" t="s">
        <v>216</v>
      </c>
      <c r="E493" s="19">
        <v>-2840</v>
      </c>
      <c r="F493" t="s">
        <v>131</v>
      </c>
    </row>
    <row r="494" spans="1:6" x14ac:dyDescent="0.25">
      <c r="A494" s="11" t="s">
        <v>259</v>
      </c>
      <c r="B494" s="11">
        <v>20</v>
      </c>
      <c r="C494" s="11" t="s">
        <v>72</v>
      </c>
      <c r="D494" s="11" t="s">
        <v>424</v>
      </c>
      <c r="E494" s="19">
        <v>10330.94</v>
      </c>
      <c r="F494" t="s">
        <v>131</v>
      </c>
    </row>
    <row r="495" spans="1:6" x14ac:dyDescent="0.25">
      <c r="A495" s="11" t="s">
        <v>259</v>
      </c>
      <c r="B495" s="11">
        <v>20</v>
      </c>
      <c r="C495" s="11" t="s">
        <v>72</v>
      </c>
      <c r="D495" s="11" t="s">
        <v>421</v>
      </c>
      <c r="E495" s="19">
        <v>80000</v>
      </c>
      <c r="F495" t="s">
        <v>131</v>
      </c>
    </row>
    <row r="496" spans="1:6" x14ac:dyDescent="0.25">
      <c r="A496" s="11" t="s">
        <v>259</v>
      </c>
      <c r="B496" s="11">
        <v>20</v>
      </c>
      <c r="C496" s="11" t="s">
        <v>132</v>
      </c>
      <c r="D496" s="11" t="s">
        <v>334</v>
      </c>
      <c r="E496" s="19">
        <v>180000</v>
      </c>
      <c r="F496" t="s">
        <v>133</v>
      </c>
    </row>
    <row r="497" spans="1:6" x14ac:dyDescent="0.25">
      <c r="A497" s="11" t="s">
        <v>259</v>
      </c>
      <c r="B497" s="11">
        <v>20</v>
      </c>
      <c r="C497" s="11" t="s">
        <v>132</v>
      </c>
      <c r="D497" s="11" t="s">
        <v>197</v>
      </c>
      <c r="E497" s="19">
        <v>-375000</v>
      </c>
      <c r="F497" t="s">
        <v>133</v>
      </c>
    </row>
    <row r="498" spans="1:6" x14ac:dyDescent="0.25">
      <c r="A498" s="11" t="s">
        <v>259</v>
      </c>
      <c r="B498" s="11">
        <v>20</v>
      </c>
      <c r="C498" s="11" t="s">
        <v>132</v>
      </c>
      <c r="D498" s="11" t="s">
        <v>216</v>
      </c>
      <c r="E498" s="19">
        <v>-42600</v>
      </c>
      <c r="F498" t="s">
        <v>133</v>
      </c>
    </row>
    <row r="499" spans="1:6" x14ac:dyDescent="0.25">
      <c r="A499" s="11" t="s">
        <v>259</v>
      </c>
      <c r="B499" s="11">
        <v>20</v>
      </c>
      <c r="C499" s="11" t="s">
        <v>132</v>
      </c>
      <c r="D499" s="11" t="s">
        <v>424</v>
      </c>
      <c r="E499" s="19">
        <v>154964.10999999999</v>
      </c>
      <c r="F499" t="s">
        <v>133</v>
      </c>
    </row>
    <row r="500" spans="1:6" x14ac:dyDescent="0.25">
      <c r="A500" s="11" t="s">
        <v>259</v>
      </c>
      <c r="B500" s="11">
        <v>20</v>
      </c>
      <c r="C500" s="11" t="s">
        <v>132</v>
      </c>
      <c r="D500" s="11" t="s">
        <v>421</v>
      </c>
      <c r="E500" s="19">
        <v>1200000</v>
      </c>
      <c r="F500" t="s">
        <v>133</v>
      </c>
    </row>
    <row r="501" spans="1:6" x14ac:dyDescent="0.25">
      <c r="A501" s="11" t="s">
        <v>259</v>
      </c>
      <c r="B501" s="11">
        <v>20</v>
      </c>
      <c r="C501" s="11" t="s">
        <v>134</v>
      </c>
      <c r="D501" s="11" t="s">
        <v>334</v>
      </c>
      <c r="E501" s="19">
        <v>96000</v>
      </c>
      <c r="F501" t="s">
        <v>133</v>
      </c>
    </row>
    <row r="502" spans="1:6" x14ac:dyDescent="0.25">
      <c r="A502" s="11" t="s">
        <v>259</v>
      </c>
      <c r="B502" s="11">
        <v>20</v>
      </c>
      <c r="C502" s="11" t="s">
        <v>134</v>
      </c>
      <c r="D502" s="11" t="s">
        <v>197</v>
      </c>
      <c r="E502" s="19">
        <v>-200000</v>
      </c>
      <c r="F502" t="s">
        <v>133</v>
      </c>
    </row>
    <row r="503" spans="1:6" x14ac:dyDescent="0.25">
      <c r="A503" s="11" t="s">
        <v>259</v>
      </c>
      <c r="B503" s="11">
        <v>20</v>
      </c>
      <c r="C503" s="11" t="s">
        <v>134</v>
      </c>
      <c r="D503" s="11" t="s">
        <v>216</v>
      </c>
      <c r="E503" s="19">
        <v>-22720</v>
      </c>
      <c r="F503" t="s">
        <v>133</v>
      </c>
    </row>
    <row r="504" spans="1:6" x14ac:dyDescent="0.25">
      <c r="A504" s="11" t="s">
        <v>259</v>
      </c>
      <c r="B504" s="11">
        <v>20</v>
      </c>
      <c r="C504" s="11" t="s">
        <v>134</v>
      </c>
      <c r="D504" s="11" t="s">
        <v>424</v>
      </c>
      <c r="E504" s="19">
        <v>82647.520000000004</v>
      </c>
      <c r="F504" t="s">
        <v>133</v>
      </c>
    </row>
    <row r="505" spans="1:6" x14ac:dyDescent="0.25">
      <c r="A505" s="11" t="s">
        <v>259</v>
      </c>
      <c r="B505" s="11">
        <v>20</v>
      </c>
      <c r="C505" s="11" t="s">
        <v>134</v>
      </c>
      <c r="D505" s="11" t="s">
        <v>421</v>
      </c>
      <c r="E505" s="19">
        <v>640000</v>
      </c>
      <c r="F505" t="s">
        <v>133</v>
      </c>
    </row>
    <row r="506" spans="1:6" x14ac:dyDescent="0.25">
      <c r="A506" s="11" t="s">
        <v>259</v>
      </c>
      <c r="B506" s="11">
        <v>20</v>
      </c>
      <c r="C506" s="11" t="s">
        <v>135</v>
      </c>
      <c r="D506" s="11" t="s">
        <v>334</v>
      </c>
      <c r="E506" s="19">
        <v>84000</v>
      </c>
      <c r="F506" t="s">
        <v>133</v>
      </c>
    </row>
    <row r="507" spans="1:6" x14ac:dyDescent="0.25">
      <c r="A507" s="11" t="s">
        <v>259</v>
      </c>
      <c r="B507" s="11">
        <v>20</v>
      </c>
      <c r="C507" s="11" t="s">
        <v>135</v>
      </c>
      <c r="D507" s="11" t="s">
        <v>197</v>
      </c>
      <c r="E507" s="19">
        <v>-175000</v>
      </c>
      <c r="F507" t="s">
        <v>133</v>
      </c>
    </row>
    <row r="508" spans="1:6" x14ac:dyDescent="0.25">
      <c r="A508" s="11" t="s">
        <v>259</v>
      </c>
      <c r="B508" s="11">
        <v>20</v>
      </c>
      <c r="C508" s="11" t="s">
        <v>135</v>
      </c>
      <c r="D508" s="11" t="s">
        <v>216</v>
      </c>
      <c r="E508" s="19">
        <v>-19880</v>
      </c>
      <c r="F508" t="s">
        <v>133</v>
      </c>
    </row>
    <row r="509" spans="1:6" x14ac:dyDescent="0.25">
      <c r="A509" s="11" t="s">
        <v>259</v>
      </c>
      <c r="B509" s="11">
        <v>20</v>
      </c>
      <c r="C509" s="11" t="s">
        <v>135</v>
      </c>
      <c r="D509" s="11" t="s">
        <v>424</v>
      </c>
      <c r="E509" s="19">
        <v>72316.58</v>
      </c>
      <c r="F509" t="s">
        <v>133</v>
      </c>
    </row>
    <row r="510" spans="1:6" x14ac:dyDescent="0.25">
      <c r="A510" s="11" t="s">
        <v>259</v>
      </c>
      <c r="B510" s="11">
        <v>20</v>
      </c>
      <c r="C510" s="11" t="s">
        <v>135</v>
      </c>
      <c r="D510" s="11" t="s">
        <v>421</v>
      </c>
      <c r="E510" s="19">
        <v>560000</v>
      </c>
      <c r="F510" t="s">
        <v>133</v>
      </c>
    </row>
    <row r="511" spans="1:6" x14ac:dyDescent="0.25">
      <c r="A511" s="11" t="s">
        <v>259</v>
      </c>
      <c r="B511" s="11">
        <v>20</v>
      </c>
      <c r="C511" s="11" t="s">
        <v>136</v>
      </c>
      <c r="D511" s="11" t="s">
        <v>334</v>
      </c>
      <c r="E511" s="19">
        <v>60000</v>
      </c>
      <c r="F511" t="s">
        <v>133</v>
      </c>
    </row>
    <row r="512" spans="1:6" x14ac:dyDescent="0.25">
      <c r="A512" s="11" t="s">
        <v>259</v>
      </c>
      <c r="B512" s="11">
        <v>20</v>
      </c>
      <c r="C512" s="11" t="s">
        <v>136</v>
      </c>
      <c r="D512" s="11" t="s">
        <v>197</v>
      </c>
      <c r="E512" s="19">
        <v>-125000</v>
      </c>
      <c r="F512" t="s">
        <v>133</v>
      </c>
    </row>
    <row r="513" spans="1:6" x14ac:dyDescent="0.25">
      <c r="A513" s="11" t="s">
        <v>259</v>
      </c>
      <c r="B513" s="11">
        <v>20</v>
      </c>
      <c r="C513" s="11" t="s">
        <v>136</v>
      </c>
      <c r="D513" s="11" t="s">
        <v>216</v>
      </c>
      <c r="E513" s="19">
        <v>-14200</v>
      </c>
      <c r="F513" t="s">
        <v>133</v>
      </c>
    </row>
    <row r="514" spans="1:6" x14ac:dyDescent="0.25">
      <c r="A514" s="11" t="s">
        <v>259</v>
      </c>
      <c r="B514" s="11">
        <v>20</v>
      </c>
      <c r="C514" s="11" t="s">
        <v>136</v>
      </c>
      <c r="D514" s="11" t="s">
        <v>424</v>
      </c>
      <c r="E514" s="19">
        <v>51654.7</v>
      </c>
      <c r="F514" t="s">
        <v>133</v>
      </c>
    </row>
    <row r="515" spans="1:6" x14ac:dyDescent="0.25">
      <c r="A515" s="11" t="s">
        <v>259</v>
      </c>
      <c r="B515" s="11">
        <v>20</v>
      </c>
      <c r="C515" s="11" t="s">
        <v>136</v>
      </c>
      <c r="D515" s="11" t="s">
        <v>421</v>
      </c>
      <c r="E515" s="19">
        <v>400000</v>
      </c>
      <c r="F515" t="s">
        <v>133</v>
      </c>
    </row>
    <row r="516" spans="1:6" x14ac:dyDescent="0.25">
      <c r="A516" s="11" t="s">
        <v>259</v>
      </c>
      <c r="B516" s="11">
        <v>20</v>
      </c>
      <c r="C516" s="11" t="s">
        <v>137</v>
      </c>
      <c r="D516" s="11" t="s">
        <v>334</v>
      </c>
      <c r="E516" s="19">
        <v>72000</v>
      </c>
      <c r="F516" t="s">
        <v>133</v>
      </c>
    </row>
    <row r="517" spans="1:6" x14ac:dyDescent="0.25">
      <c r="A517" s="11" t="s">
        <v>259</v>
      </c>
      <c r="B517" s="11">
        <v>20</v>
      </c>
      <c r="C517" s="11" t="s">
        <v>137</v>
      </c>
      <c r="D517" s="11" t="s">
        <v>197</v>
      </c>
      <c r="E517" s="19">
        <v>-150000</v>
      </c>
      <c r="F517" t="s">
        <v>133</v>
      </c>
    </row>
    <row r="518" spans="1:6" x14ac:dyDescent="0.25">
      <c r="A518" s="11" t="s">
        <v>259</v>
      </c>
      <c r="B518" s="11">
        <v>20</v>
      </c>
      <c r="C518" s="11" t="s">
        <v>137</v>
      </c>
      <c r="D518" s="11" t="s">
        <v>216</v>
      </c>
      <c r="E518" s="19">
        <v>-17040</v>
      </c>
      <c r="F518" t="s">
        <v>133</v>
      </c>
    </row>
    <row r="519" spans="1:6" x14ac:dyDescent="0.25">
      <c r="A519" s="11" t="s">
        <v>259</v>
      </c>
      <c r="B519" s="11">
        <v>20</v>
      </c>
      <c r="C519" s="11" t="s">
        <v>137</v>
      </c>
      <c r="D519" s="11" t="s">
        <v>424</v>
      </c>
      <c r="E519" s="19">
        <v>61985.64</v>
      </c>
      <c r="F519" t="s">
        <v>133</v>
      </c>
    </row>
    <row r="520" spans="1:6" x14ac:dyDescent="0.25">
      <c r="A520" s="11" t="s">
        <v>259</v>
      </c>
      <c r="B520" s="11">
        <v>20</v>
      </c>
      <c r="C520" s="11" t="s">
        <v>137</v>
      </c>
      <c r="D520" s="11" t="s">
        <v>421</v>
      </c>
      <c r="E520" s="19">
        <v>480000</v>
      </c>
      <c r="F520" t="s">
        <v>133</v>
      </c>
    </row>
    <row r="521" spans="1:6" x14ac:dyDescent="0.25">
      <c r="A521" s="11" t="s">
        <v>259</v>
      </c>
      <c r="B521" s="11">
        <v>20</v>
      </c>
      <c r="C521" s="11" t="s">
        <v>139</v>
      </c>
      <c r="D521" s="11" t="s">
        <v>334</v>
      </c>
      <c r="E521" s="19">
        <v>96000</v>
      </c>
      <c r="F521" t="s">
        <v>133</v>
      </c>
    </row>
    <row r="522" spans="1:6" x14ac:dyDescent="0.25">
      <c r="A522" s="11" t="s">
        <v>259</v>
      </c>
      <c r="B522" s="11">
        <v>20</v>
      </c>
      <c r="C522" s="11" t="s">
        <v>139</v>
      </c>
      <c r="D522" s="11" t="s">
        <v>197</v>
      </c>
      <c r="E522" s="19">
        <v>-200000</v>
      </c>
      <c r="F522" t="s">
        <v>133</v>
      </c>
    </row>
    <row r="523" spans="1:6" x14ac:dyDescent="0.25">
      <c r="A523" s="11" t="s">
        <v>259</v>
      </c>
      <c r="B523" s="11">
        <v>20</v>
      </c>
      <c r="C523" s="11" t="s">
        <v>139</v>
      </c>
      <c r="D523" s="11" t="s">
        <v>216</v>
      </c>
      <c r="E523" s="19">
        <v>-22720</v>
      </c>
      <c r="F523" t="s">
        <v>133</v>
      </c>
    </row>
    <row r="524" spans="1:6" x14ac:dyDescent="0.25">
      <c r="A524" s="11" t="s">
        <v>259</v>
      </c>
      <c r="B524" s="11">
        <v>20</v>
      </c>
      <c r="C524" s="11" t="s">
        <v>139</v>
      </c>
      <c r="D524" s="11" t="s">
        <v>424</v>
      </c>
      <c r="E524" s="19">
        <v>82647.53</v>
      </c>
      <c r="F524" t="s">
        <v>133</v>
      </c>
    </row>
    <row r="525" spans="1:6" x14ac:dyDescent="0.25">
      <c r="A525" s="11" t="s">
        <v>259</v>
      </c>
      <c r="B525" s="11">
        <v>20</v>
      </c>
      <c r="C525" s="11" t="s">
        <v>139</v>
      </c>
      <c r="D525" s="11" t="s">
        <v>421</v>
      </c>
      <c r="E525" s="19">
        <v>640000</v>
      </c>
      <c r="F525" t="s">
        <v>133</v>
      </c>
    </row>
    <row r="526" spans="1:6" x14ac:dyDescent="0.25">
      <c r="A526" s="11" t="s">
        <v>260</v>
      </c>
      <c r="B526" s="11">
        <v>21</v>
      </c>
      <c r="C526" s="11" t="s">
        <v>72</v>
      </c>
      <c r="D526" s="11" t="s">
        <v>334</v>
      </c>
      <c r="E526" s="19">
        <v>28000</v>
      </c>
      <c r="F526" t="s">
        <v>131</v>
      </c>
    </row>
    <row r="527" spans="1:6" x14ac:dyDescent="0.25">
      <c r="A527" s="11" t="s">
        <v>260</v>
      </c>
      <c r="B527" s="11">
        <v>21</v>
      </c>
      <c r="C527" s="11" t="s">
        <v>72</v>
      </c>
      <c r="D527" s="11" t="s">
        <v>216</v>
      </c>
      <c r="E527" s="19">
        <v>-2840</v>
      </c>
      <c r="F527" t="s">
        <v>131</v>
      </c>
    </row>
    <row r="528" spans="1:6" x14ac:dyDescent="0.25">
      <c r="A528" s="11" t="s">
        <v>260</v>
      </c>
      <c r="B528" s="11">
        <v>21</v>
      </c>
      <c r="C528" s="11" t="s">
        <v>72</v>
      </c>
      <c r="D528" s="11" t="s">
        <v>424</v>
      </c>
      <c r="E528" s="19">
        <v>10640.87</v>
      </c>
      <c r="F528" t="s">
        <v>131</v>
      </c>
    </row>
    <row r="529" spans="1:6" x14ac:dyDescent="0.25">
      <c r="A529" s="11" t="s">
        <v>260</v>
      </c>
      <c r="B529" s="11">
        <v>21</v>
      </c>
      <c r="C529" s="11" t="s">
        <v>72</v>
      </c>
      <c r="D529" s="11" t="s">
        <v>421</v>
      </c>
      <c r="E529" s="19">
        <v>260000</v>
      </c>
      <c r="F529" t="s">
        <v>131</v>
      </c>
    </row>
    <row r="530" spans="1:6" x14ac:dyDescent="0.25">
      <c r="A530" s="11" t="s">
        <v>260</v>
      </c>
      <c r="B530" s="11">
        <v>21</v>
      </c>
      <c r="C530" s="11" t="s">
        <v>132</v>
      </c>
      <c r="D530" s="11" t="s">
        <v>334</v>
      </c>
      <c r="E530" s="19">
        <v>420000</v>
      </c>
      <c r="F530" t="s">
        <v>133</v>
      </c>
    </row>
    <row r="531" spans="1:6" x14ac:dyDescent="0.25">
      <c r="A531" s="11" t="s">
        <v>260</v>
      </c>
      <c r="B531" s="11">
        <v>21</v>
      </c>
      <c r="C531" s="11" t="s">
        <v>132</v>
      </c>
      <c r="D531" s="11" t="s">
        <v>197</v>
      </c>
      <c r="E531" s="19">
        <v>-298469.39</v>
      </c>
      <c r="F531" t="s">
        <v>133</v>
      </c>
    </row>
    <row r="532" spans="1:6" x14ac:dyDescent="0.25">
      <c r="A532" s="11" t="s">
        <v>260</v>
      </c>
      <c r="B532" s="11">
        <v>21</v>
      </c>
      <c r="C532" s="11" t="s">
        <v>132</v>
      </c>
      <c r="D532" s="11" t="s">
        <v>216</v>
      </c>
      <c r="E532" s="19">
        <v>-42600</v>
      </c>
      <c r="F532" t="s">
        <v>133</v>
      </c>
    </row>
    <row r="533" spans="1:6" x14ac:dyDescent="0.25">
      <c r="A533" s="11" t="s">
        <v>260</v>
      </c>
      <c r="B533" s="11">
        <v>21</v>
      </c>
      <c r="C533" s="11" t="s">
        <v>132</v>
      </c>
      <c r="D533" s="11" t="s">
        <v>424</v>
      </c>
      <c r="E533" s="19">
        <v>159613.03</v>
      </c>
      <c r="F533" t="s">
        <v>133</v>
      </c>
    </row>
    <row r="534" spans="1:6" x14ac:dyDescent="0.25">
      <c r="A534" s="11" t="s">
        <v>260</v>
      </c>
      <c r="B534" s="11">
        <v>21</v>
      </c>
      <c r="C534" s="11" t="s">
        <v>132</v>
      </c>
      <c r="D534" s="11" t="s">
        <v>421</v>
      </c>
      <c r="E534" s="19">
        <v>3900000</v>
      </c>
      <c r="F534" t="s">
        <v>133</v>
      </c>
    </row>
    <row r="535" spans="1:6" x14ac:dyDescent="0.25">
      <c r="A535" s="11" t="s">
        <v>260</v>
      </c>
      <c r="B535" s="11">
        <v>21</v>
      </c>
      <c r="C535" s="11" t="s">
        <v>134</v>
      </c>
      <c r="D535" s="11" t="s">
        <v>334</v>
      </c>
      <c r="E535" s="19">
        <v>224000</v>
      </c>
      <c r="F535" t="s">
        <v>133</v>
      </c>
    </row>
    <row r="536" spans="1:6" x14ac:dyDescent="0.25">
      <c r="A536" s="11" t="s">
        <v>260</v>
      </c>
      <c r="B536" s="11">
        <v>21</v>
      </c>
      <c r="C536" s="11" t="s">
        <v>134</v>
      </c>
      <c r="D536" s="11" t="s">
        <v>197</v>
      </c>
      <c r="E536" s="19">
        <v>-159183.67000000001</v>
      </c>
      <c r="F536" t="s">
        <v>133</v>
      </c>
    </row>
    <row r="537" spans="1:6" x14ac:dyDescent="0.25">
      <c r="A537" s="11" t="s">
        <v>260</v>
      </c>
      <c r="B537" s="11">
        <v>21</v>
      </c>
      <c r="C537" s="11" t="s">
        <v>134</v>
      </c>
      <c r="D537" s="11" t="s">
        <v>216</v>
      </c>
      <c r="E537" s="19">
        <v>-22720</v>
      </c>
      <c r="F537" t="s">
        <v>133</v>
      </c>
    </row>
    <row r="538" spans="1:6" x14ac:dyDescent="0.25">
      <c r="A538" s="11" t="s">
        <v>260</v>
      </c>
      <c r="B538" s="11">
        <v>21</v>
      </c>
      <c r="C538" s="11" t="s">
        <v>134</v>
      </c>
      <c r="D538" s="11" t="s">
        <v>424</v>
      </c>
      <c r="E538" s="19">
        <v>85126.95</v>
      </c>
      <c r="F538" t="s">
        <v>133</v>
      </c>
    </row>
    <row r="539" spans="1:6" x14ac:dyDescent="0.25">
      <c r="A539" s="11" t="s">
        <v>260</v>
      </c>
      <c r="B539" s="11">
        <v>21</v>
      </c>
      <c r="C539" s="11" t="s">
        <v>134</v>
      </c>
      <c r="D539" s="11" t="s">
        <v>421</v>
      </c>
      <c r="E539" s="19">
        <v>2080000</v>
      </c>
      <c r="F539" t="s">
        <v>133</v>
      </c>
    </row>
    <row r="540" spans="1:6" x14ac:dyDescent="0.25">
      <c r="A540" s="11" t="s">
        <v>260</v>
      </c>
      <c r="B540" s="11">
        <v>21</v>
      </c>
      <c r="C540" s="11" t="s">
        <v>135</v>
      </c>
      <c r="D540" s="11" t="s">
        <v>334</v>
      </c>
      <c r="E540" s="19">
        <v>196000</v>
      </c>
      <c r="F540" t="s">
        <v>133</v>
      </c>
    </row>
    <row r="541" spans="1:6" x14ac:dyDescent="0.25">
      <c r="A541" s="11" t="s">
        <v>260</v>
      </c>
      <c r="B541" s="11">
        <v>21</v>
      </c>
      <c r="C541" s="11" t="s">
        <v>135</v>
      </c>
      <c r="D541" s="11" t="s">
        <v>197</v>
      </c>
      <c r="E541" s="19">
        <v>-139285.71</v>
      </c>
      <c r="F541" t="s">
        <v>133</v>
      </c>
    </row>
    <row r="542" spans="1:6" x14ac:dyDescent="0.25">
      <c r="A542" s="11" t="s">
        <v>260</v>
      </c>
      <c r="B542" s="11">
        <v>21</v>
      </c>
      <c r="C542" s="11" t="s">
        <v>135</v>
      </c>
      <c r="D542" s="11" t="s">
        <v>216</v>
      </c>
      <c r="E542" s="19">
        <v>-19880</v>
      </c>
      <c r="F542" t="s">
        <v>133</v>
      </c>
    </row>
    <row r="543" spans="1:6" x14ac:dyDescent="0.25">
      <c r="A543" s="11" t="s">
        <v>260</v>
      </c>
      <c r="B543" s="11">
        <v>21</v>
      </c>
      <c r="C543" s="11" t="s">
        <v>135</v>
      </c>
      <c r="D543" s="11" t="s">
        <v>424</v>
      </c>
      <c r="E543" s="19">
        <v>74486.080000000002</v>
      </c>
      <c r="F543" t="s">
        <v>133</v>
      </c>
    </row>
    <row r="544" spans="1:6" x14ac:dyDescent="0.25">
      <c r="A544" s="11" t="s">
        <v>260</v>
      </c>
      <c r="B544" s="11">
        <v>21</v>
      </c>
      <c r="C544" s="11" t="s">
        <v>135</v>
      </c>
      <c r="D544" s="11" t="s">
        <v>421</v>
      </c>
      <c r="E544" s="19">
        <v>1820000</v>
      </c>
      <c r="F544" t="s">
        <v>133</v>
      </c>
    </row>
    <row r="545" spans="1:6" x14ac:dyDescent="0.25">
      <c r="A545" s="11" t="s">
        <v>260</v>
      </c>
      <c r="B545" s="11">
        <v>21</v>
      </c>
      <c r="C545" s="11" t="s">
        <v>136</v>
      </c>
      <c r="D545" s="11" t="s">
        <v>334</v>
      </c>
      <c r="E545" s="19">
        <v>140000</v>
      </c>
      <c r="F545" t="s">
        <v>133</v>
      </c>
    </row>
    <row r="546" spans="1:6" x14ac:dyDescent="0.25">
      <c r="A546" s="11" t="s">
        <v>260</v>
      </c>
      <c r="B546" s="11">
        <v>21</v>
      </c>
      <c r="C546" s="11" t="s">
        <v>136</v>
      </c>
      <c r="D546" s="11" t="s">
        <v>197</v>
      </c>
      <c r="E546" s="19">
        <v>-99489.8</v>
      </c>
      <c r="F546" t="s">
        <v>133</v>
      </c>
    </row>
    <row r="547" spans="1:6" x14ac:dyDescent="0.25">
      <c r="A547" s="11" t="s">
        <v>260</v>
      </c>
      <c r="B547" s="11">
        <v>21</v>
      </c>
      <c r="C547" s="11" t="s">
        <v>136</v>
      </c>
      <c r="D547" s="11" t="s">
        <v>216</v>
      </c>
      <c r="E547" s="19">
        <v>-14200</v>
      </c>
      <c r="F547" t="s">
        <v>133</v>
      </c>
    </row>
    <row r="548" spans="1:6" x14ac:dyDescent="0.25">
      <c r="A548" s="11" t="s">
        <v>260</v>
      </c>
      <c r="B548" s="11">
        <v>21</v>
      </c>
      <c r="C548" s="11" t="s">
        <v>136</v>
      </c>
      <c r="D548" s="11" t="s">
        <v>424</v>
      </c>
      <c r="E548" s="19">
        <v>53204.34</v>
      </c>
      <c r="F548" t="s">
        <v>133</v>
      </c>
    </row>
    <row r="549" spans="1:6" x14ac:dyDescent="0.25">
      <c r="A549" s="11" t="s">
        <v>260</v>
      </c>
      <c r="B549" s="11">
        <v>21</v>
      </c>
      <c r="C549" s="11" t="s">
        <v>136</v>
      </c>
      <c r="D549" s="11" t="s">
        <v>421</v>
      </c>
      <c r="E549" s="19">
        <v>1300000</v>
      </c>
      <c r="F549" t="s">
        <v>133</v>
      </c>
    </row>
    <row r="550" spans="1:6" x14ac:dyDescent="0.25">
      <c r="A550" s="11" t="s">
        <v>260</v>
      </c>
      <c r="B550" s="11">
        <v>21</v>
      </c>
      <c r="C550" s="11" t="s">
        <v>137</v>
      </c>
      <c r="D550" s="11" t="s">
        <v>334</v>
      </c>
      <c r="E550" s="19">
        <v>168000</v>
      </c>
      <c r="F550" t="s">
        <v>133</v>
      </c>
    </row>
    <row r="551" spans="1:6" x14ac:dyDescent="0.25">
      <c r="A551" s="11" t="s">
        <v>260</v>
      </c>
      <c r="B551" s="11">
        <v>21</v>
      </c>
      <c r="C551" s="11" t="s">
        <v>137</v>
      </c>
      <c r="D551" s="11" t="s">
        <v>197</v>
      </c>
      <c r="E551" s="19">
        <v>-119387.76</v>
      </c>
      <c r="F551" t="s">
        <v>133</v>
      </c>
    </row>
    <row r="552" spans="1:6" x14ac:dyDescent="0.25">
      <c r="A552" s="11" t="s">
        <v>260</v>
      </c>
      <c r="B552" s="11">
        <v>21</v>
      </c>
      <c r="C552" s="11" t="s">
        <v>137</v>
      </c>
      <c r="D552" s="11" t="s">
        <v>216</v>
      </c>
      <c r="E552" s="19">
        <v>-17040</v>
      </c>
      <c r="F552" t="s">
        <v>133</v>
      </c>
    </row>
    <row r="553" spans="1:6" x14ac:dyDescent="0.25">
      <c r="A553" s="11" t="s">
        <v>260</v>
      </c>
      <c r="B553" s="11">
        <v>21</v>
      </c>
      <c r="C553" s="11" t="s">
        <v>137</v>
      </c>
      <c r="D553" s="11" t="s">
        <v>424</v>
      </c>
      <c r="E553" s="19">
        <v>63845.21</v>
      </c>
      <c r="F553" t="s">
        <v>133</v>
      </c>
    </row>
    <row r="554" spans="1:6" x14ac:dyDescent="0.25">
      <c r="A554" s="11" t="s">
        <v>260</v>
      </c>
      <c r="B554" s="11">
        <v>21</v>
      </c>
      <c r="C554" s="11" t="s">
        <v>137</v>
      </c>
      <c r="D554" s="11" t="s">
        <v>421</v>
      </c>
      <c r="E554" s="19">
        <v>1560000</v>
      </c>
      <c r="F554" t="s">
        <v>133</v>
      </c>
    </row>
    <row r="555" spans="1:6" x14ac:dyDescent="0.25">
      <c r="A555" s="11" t="s">
        <v>260</v>
      </c>
      <c r="B555" s="11">
        <v>21</v>
      </c>
      <c r="C555" s="11" t="s">
        <v>139</v>
      </c>
      <c r="D555" s="11" t="s">
        <v>334</v>
      </c>
      <c r="E555" s="19">
        <v>224000</v>
      </c>
      <c r="F555" t="s">
        <v>133</v>
      </c>
    </row>
    <row r="556" spans="1:6" x14ac:dyDescent="0.25">
      <c r="A556" s="11" t="s">
        <v>260</v>
      </c>
      <c r="B556" s="11">
        <v>21</v>
      </c>
      <c r="C556" s="11" t="s">
        <v>139</v>
      </c>
      <c r="D556" s="11" t="s">
        <v>197</v>
      </c>
      <c r="E556" s="19">
        <v>-159183.67000000001</v>
      </c>
      <c r="F556" t="s">
        <v>133</v>
      </c>
    </row>
    <row r="557" spans="1:6" x14ac:dyDescent="0.25">
      <c r="A557" s="11" t="s">
        <v>260</v>
      </c>
      <c r="B557" s="11">
        <v>21</v>
      </c>
      <c r="C557" s="11" t="s">
        <v>139</v>
      </c>
      <c r="D557" s="11" t="s">
        <v>216</v>
      </c>
      <c r="E557" s="19">
        <v>-22720</v>
      </c>
      <c r="F557" t="s">
        <v>133</v>
      </c>
    </row>
    <row r="558" spans="1:6" x14ac:dyDescent="0.25">
      <c r="A558" s="11" t="s">
        <v>260</v>
      </c>
      <c r="B558" s="11">
        <v>21</v>
      </c>
      <c r="C558" s="11" t="s">
        <v>139</v>
      </c>
      <c r="D558" s="11" t="s">
        <v>424</v>
      </c>
      <c r="E558" s="19">
        <v>85126.95</v>
      </c>
      <c r="F558" t="s">
        <v>133</v>
      </c>
    </row>
    <row r="559" spans="1:6" x14ac:dyDescent="0.25">
      <c r="A559" s="11" t="s">
        <v>260</v>
      </c>
      <c r="B559" s="11">
        <v>21</v>
      </c>
      <c r="C559" s="11" t="s">
        <v>139</v>
      </c>
      <c r="D559" s="11" t="s">
        <v>421</v>
      </c>
      <c r="E559" s="19">
        <v>2080000</v>
      </c>
      <c r="F559" t="s">
        <v>133</v>
      </c>
    </row>
    <row r="560" spans="1:6" x14ac:dyDescent="0.25">
      <c r="A560" s="11" t="s">
        <v>260</v>
      </c>
      <c r="B560" s="11">
        <v>21</v>
      </c>
      <c r="C560" s="11" t="s">
        <v>72</v>
      </c>
      <c r="D560" s="11" t="s">
        <v>117</v>
      </c>
      <c r="E560" s="19">
        <v>-113552.48</v>
      </c>
      <c r="F560" t="s">
        <v>131</v>
      </c>
    </row>
    <row r="561" spans="1:6" x14ac:dyDescent="0.25">
      <c r="A561" s="11" t="s">
        <v>260</v>
      </c>
      <c r="B561" s="11">
        <v>21</v>
      </c>
      <c r="C561" s="11" t="s">
        <v>132</v>
      </c>
      <c r="D561" s="11" t="s">
        <v>117</v>
      </c>
      <c r="E561" s="19">
        <v>-1160205.56</v>
      </c>
      <c r="F561" t="s">
        <v>133</v>
      </c>
    </row>
    <row r="562" spans="1:6" x14ac:dyDescent="0.25">
      <c r="A562" s="11" t="s">
        <v>260</v>
      </c>
      <c r="B562" s="11">
        <v>21</v>
      </c>
      <c r="C562" s="11" t="s">
        <v>134</v>
      </c>
      <c r="D562" s="11" t="s">
        <v>117</v>
      </c>
      <c r="E562" s="19">
        <v>-618776.30000000005</v>
      </c>
      <c r="F562" t="s">
        <v>133</v>
      </c>
    </row>
    <row r="563" spans="1:6" x14ac:dyDescent="0.25">
      <c r="A563" s="11" t="s">
        <v>260</v>
      </c>
      <c r="B563" s="11">
        <v>21</v>
      </c>
      <c r="C563" s="11" t="s">
        <v>135</v>
      </c>
      <c r="D563" s="11" t="s">
        <v>117</v>
      </c>
      <c r="E563" s="19">
        <v>-609900.93999999994</v>
      </c>
      <c r="F563" t="s">
        <v>133</v>
      </c>
    </row>
    <row r="564" spans="1:6" x14ac:dyDescent="0.25">
      <c r="A564" s="11" t="s">
        <v>260</v>
      </c>
      <c r="B564" s="11">
        <v>21</v>
      </c>
      <c r="C564" s="11" t="s">
        <v>136</v>
      </c>
      <c r="D564" s="11" t="s">
        <v>117</v>
      </c>
      <c r="E564" s="19">
        <v>-435643.53</v>
      </c>
      <c r="F564" t="s">
        <v>133</v>
      </c>
    </row>
    <row r="565" spans="1:6" x14ac:dyDescent="0.25">
      <c r="A565" s="11" t="s">
        <v>260</v>
      </c>
      <c r="B565" s="11">
        <v>21</v>
      </c>
      <c r="C565" s="11" t="s">
        <v>137</v>
      </c>
      <c r="D565" s="11" t="s">
        <v>117</v>
      </c>
      <c r="E565" s="19">
        <v>-529356.99</v>
      </c>
      <c r="F565" t="s">
        <v>133</v>
      </c>
    </row>
    <row r="566" spans="1:6" x14ac:dyDescent="0.25">
      <c r="A566" s="11" t="s">
        <v>260</v>
      </c>
      <c r="B566" s="11">
        <v>21</v>
      </c>
      <c r="C566" s="11" t="s">
        <v>139</v>
      </c>
      <c r="D566" s="11" t="s">
        <v>117</v>
      </c>
      <c r="E566" s="19">
        <v>-705809.33</v>
      </c>
      <c r="F566" t="s">
        <v>133</v>
      </c>
    </row>
    <row r="567" spans="1:6" x14ac:dyDescent="0.25">
      <c r="A567" s="11" t="s">
        <v>260</v>
      </c>
      <c r="B567" s="11">
        <v>21</v>
      </c>
      <c r="C567" s="11" t="s">
        <v>422</v>
      </c>
      <c r="D567" s="11" t="s">
        <v>117</v>
      </c>
      <c r="E567" s="19">
        <v>4173245.13</v>
      </c>
      <c r="F567" t="s">
        <v>423</v>
      </c>
    </row>
    <row r="568" spans="1:6" x14ac:dyDescent="0.25">
      <c r="A568" s="11" t="s">
        <v>261</v>
      </c>
      <c r="B568" s="11">
        <v>22</v>
      </c>
      <c r="C568" s="11" t="s">
        <v>72</v>
      </c>
      <c r="D568" s="11" t="s">
        <v>334</v>
      </c>
      <c r="E568" s="19">
        <v>16000</v>
      </c>
      <c r="F568" t="s">
        <v>131</v>
      </c>
    </row>
    <row r="569" spans="1:6" x14ac:dyDescent="0.25">
      <c r="A569" s="11" t="s">
        <v>261</v>
      </c>
      <c r="B569" s="11">
        <v>22</v>
      </c>
      <c r="C569" s="11" t="s">
        <v>72</v>
      </c>
      <c r="D569" s="11" t="s">
        <v>425</v>
      </c>
      <c r="E569" s="19">
        <v>2485579.7799999998</v>
      </c>
      <c r="F569" t="s">
        <v>131</v>
      </c>
    </row>
    <row r="570" spans="1:6" x14ac:dyDescent="0.25">
      <c r="A570" s="11" t="s">
        <v>261</v>
      </c>
      <c r="B570" s="11">
        <v>22</v>
      </c>
      <c r="C570" s="11" t="s">
        <v>72</v>
      </c>
      <c r="D570" s="11" t="s">
        <v>216</v>
      </c>
      <c r="E570" s="19">
        <v>-2840</v>
      </c>
      <c r="F570" t="s">
        <v>131</v>
      </c>
    </row>
    <row r="571" spans="1:6" x14ac:dyDescent="0.25">
      <c r="A571" s="11" t="s">
        <v>261</v>
      </c>
      <c r="B571" s="11">
        <v>22</v>
      </c>
      <c r="C571" s="11" t="s">
        <v>72</v>
      </c>
      <c r="D571" s="11" t="s">
        <v>424</v>
      </c>
      <c r="E571" s="19">
        <v>10960.09</v>
      </c>
      <c r="F571" t="s">
        <v>131</v>
      </c>
    </row>
    <row r="572" spans="1:6" x14ac:dyDescent="0.25">
      <c r="A572" s="11" t="s">
        <v>261</v>
      </c>
      <c r="B572" s="11">
        <v>22</v>
      </c>
      <c r="C572" s="11" t="s">
        <v>72</v>
      </c>
      <c r="D572" s="11" t="s">
        <v>426</v>
      </c>
      <c r="E572" s="19">
        <v>1360000</v>
      </c>
      <c r="F572" t="s">
        <v>131</v>
      </c>
    </row>
    <row r="573" spans="1:6" x14ac:dyDescent="0.25">
      <c r="A573" s="11" t="s">
        <v>261</v>
      </c>
      <c r="B573" s="11">
        <v>22</v>
      </c>
      <c r="C573" s="11" t="s">
        <v>72</v>
      </c>
      <c r="D573" s="11" t="s">
        <v>421</v>
      </c>
      <c r="E573" s="19">
        <v>-1160000</v>
      </c>
      <c r="F573" t="s">
        <v>131</v>
      </c>
    </row>
    <row r="574" spans="1:6" x14ac:dyDescent="0.25">
      <c r="A574" s="11" t="s">
        <v>261</v>
      </c>
      <c r="B574" s="11">
        <v>22</v>
      </c>
      <c r="C574" s="11" t="s">
        <v>132</v>
      </c>
      <c r="D574" s="11" t="s">
        <v>334</v>
      </c>
      <c r="E574" s="19">
        <v>240000</v>
      </c>
      <c r="F574" t="s">
        <v>133</v>
      </c>
    </row>
    <row r="575" spans="1:6" x14ac:dyDescent="0.25">
      <c r="A575" s="11" t="s">
        <v>261</v>
      </c>
      <c r="B575" s="11">
        <v>22</v>
      </c>
      <c r="C575" s="11" t="s">
        <v>132</v>
      </c>
      <c r="D575" s="11" t="s">
        <v>425</v>
      </c>
      <c r="E575" s="19">
        <v>33888214.890000001</v>
      </c>
      <c r="F575" t="s">
        <v>133</v>
      </c>
    </row>
    <row r="576" spans="1:6" x14ac:dyDescent="0.25">
      <c r="A576" s="11" t="s">
        <v>261</v>
      </c>
      <c r="B576" s="11">
        <v>22</v>
      </c>
      <c r="C576" s="11" t="s">
        <v>132</v>
      </c>
      <c r="D576" s="11" t="s">
        <v>197</v>
      </c>
      <c r="E576" s="19">
        <v>-375000</v>
      </c>
      <c r="F576" t="s">
        <v>133</v>
      </c>
    </row>
    <row r="577" spans="1:6" x14ac:dyDescent="0.25">
      <c r="A577" s="11" t="s">
        <v>261</v>
      </c>
      <c r="B577" s="11">
        <v>22</v>
      </c>
      <c r="C577" s="11" t="s">
        <v>132</v>
      </c>
      <c r="D577" s="11" t="s">
        <v>216</v>
      </c>
      <c r="E577" s="19">
        <v>-42600</v>
      </c>
      <c r="F577" t="s">
        <v>133</v>
      </c>
    </row>
    <row r="578" spans="1:6" x14ac:dyDescent="0.25">
      <c r="A578" s="11" t="s">
        <v>261</v>
      </c>
      <c r="B578" s="11">
        <v>22</v>
      </c>
      <c r="C578" s="11" t="s">
        <v>132</v>
      </c>
      <c r="D578" s="11" t="s">
        <v>424</v>
      </c>
      <c r="E578" s="19">
        <v>164401.42000000001</v>
      </c>
      <c r="F578" t="s">
        <v>133</v>
      </c>
    </row>
    <row r="579" spans="1:6" x14ac:dyDescent="0.25">
      <c r="A579" s="11" t="s">
        <v>261</v>
      </c>
      <c r="B579" s="11">
        <v>22</v>
      </c>
      <c r="C579" s="11" t="s">
        <v>132</v>
      </c>
      <c r="D579" s="11" t="s">
        <v>426</v>
      </c>
      <c r="E579" s="19">
        <v>20400000</v>
      </c>
      <c r="F579" t="s">
        <v>133</v>
      </c>
    </row>
    <row r="580" spans="1:6" x14ac:dyDescent="0.25">
      <c r="A580" s="11" t="s">
        <v>261</v>
      </c>
      <c r="B580" s="11">
        <v>22</v>
      </c>
      <c r="C580" s="11" t="s">
        <v>132</v>
      </c>
      <c r="D580" s="11" t="s">
        <v>421</v>
      </c>
      <c r="E580" s="19">
        <v>-17400000</v>
      </c>
      <c r="F580" t="s">
        <v>133</v>
      </c>
    </row>
    <row r="581" spans="1:6" x14ac:dyDescent="0.25">
      <c r="A581" s="11" t="s">
        <v>261</v>
      </c>
      <c r="B581" s="11">
        <v>22</v>
      </c>
      <c r="C581" s="11" t="s">
        <v>134</v>
      </c>
      <c r="D581" s="11" t="s">
        <v>334</v>
      </c>
      <c r="E581" s="19">
        <v>128000</v>
      </c>
      <c r="F581" t="s">
        <v>133</v>
      </c>
    </row>
    <row r="582" spans="1:6" x14ac:dyDescent="0.25">
      <c r="A582" s="11" t="s">
        <v>261</v>
      </c>
      <c r="B582" s="11">
        <v>22</v>
      </c>
      <c r="C582" s="11" t="s">
        <v>134</v>
      </c>
      <c r="D582" s="11" t="s">
        <v>425</v>
      </c>
      <c r="E582" s="19">
        <v>18073714.609999999</v>
      </c>
      <c r="F582" t="s">
        <v>133</v>
      </c>
    </row>
    <row r="583" spans="1:6" x14ac:dyDescent="0.25">
      <c r="A583" s="11" t="s">
        <v>261</v>
      </c>
      <c r="B583" s="11">
        <v>22</v>
      </c>
      <c r="C583" s="11" t="s">
        <v>134</v>
      </c>
      <c r="D583" s="11" t="s">
        <v>197</v>
      </c>
      <c r="E583" s="19">
        <v>-200000</v>
      </c>
      <c r="F583" t="s">
        <v>133</v>
      </c>
    </row>
    <row r="584" spans="1:6" x14ac:dyDescent="0.25">
      <c r="A584" s="11" t="s">
        <v>261</v>
      </c>
      <c r="B584" s="11">
        <v>22</v>
      </c>
      <c r="C584" s="11" t="s">
        <v>134</v>
      </c>
      <c r="D584" s="11" t="s">
        <v>216</v>
      </c>
      <c r="E584" s="19">
        <v>-22720</v>
      </c>
      <c r="F584" t="s">
        <v>133</v>
      </c>
    </row>
    <row r="585" spans="1:6" x14ac:dyDescent="0.25">
      <c r="A585" s="11" t="s">
        <v>261</v>
      </c>
      <c r="B585" s="11">
        <v>22</v>
      </c>
      <c r="C585" s="11" t="s">
        <v>134</v>
      </c>
      <c r="D585" s="11" t="s">
        <v>424</v>
      </c>
      <c r="E585" s="19">
        <v>87680.76</v>
      </c>
      <c r="F585" t="s">
        <v>133</v>
      </c>
    </row>
    <row r="586" spans="1:6" x14ac:dyDescent="0.25">
      <c r="A586" s="11" t="s">
        <v>261</v>
      </c>
      <c r="B586" s="11">
        <v>22</v>
      </c>
      <c r="C586" s="11" t="s">
        <v>134</v>
      </c>
      <c r="D586" s="11" t="s">
        <v>426</v>
      </c>
      <c r="E586" s="19">
        <v>10880000</v>
      </c>
      <c r="F586" t="s">
        <v>133</v>
      </c>
    </row>
    <row r="587" spans="1:6" x14ac:dyDescent="0.25">
      <c r="A587" s="11" t="s">
        <v>261</v>
      </c>
      <c r="B587" s="11">
        <v>22</v>
      </c>
      <c r="C587" s="11" t="s">
        <v>134</v>
      </c>
      <c r="D587" s="11" t="s">
        <v>421</v>
      </c>
      <c r="E587" s="19">
        <v>-9280000</v>
      </c>
      <c r="F587" t="s">
        <v>133</v>
      </c>
    </row>
    <row r="588" spans="1:6" x14ac:dyDescent="0.25">
      <c r="A588" s="11" t="s">
        <v>261</v>
      </c>
      <c r="B588" s="11">
        <v>22</v>
      </c>
      <c r="C588" s="11" t="s">
        <v>135</v>
      </c>
      <c r="D588" s="11" t="s">
        <v>334</v>
      </c>
      <c r="E588" s="19">
        <v>112000</v>
      </c>
      <c r="F588" t="s">
        <v>133</v>
      </c>
    </row>
    <row r="589" spans="1:6" x14ac:dyDescent="0.25">
      <c r="A589" s="11" t="s">
        <v>261</v>
      </c>
      <c r="B589" s="11">
        <v>22</v>
      </c>
      <c r="C589" s="11" t="s">
        <v>135</v>
      </c>
      <c r="D589" s="11" t="s">
        <v>425</v>
      </c>
      <c r="E589" s="19">
        <v>16331760.15</v>
      </c>
      <c r="F589" t="s">
        <v>133</v>
      </c>
    </row>
    <row r="590" spans="1:6" x14ac:dyDescent="0.25">
      <c r="A590" s="11" t="s">
        <v>261</v>
      </c>
      <c r="B590" s="11">
        <v>22</v>
      </c>
      <c r="C590" s="11" t="s">
        <v>135</v>
      </c>
      <c r="D590" s="11" t="s">
        <v>197</v>
      </c>
      <c r="E590" s="19">
        <v>-175000</v>
      </c>
      <c r="F590" t="s">
        <v>133</v>
      </c>
    </row>
    <row r="591" spans="1:6" x14ac:dyDescent="0.25">
      <c r="A591" s="11" t="s">
        <v>261</v>
      </c>
      <c r="B591" s="11">
        <v>22</v>
      </c>
      <c r="C591" s="11" t="s">
        <v>135</v>
      </c>
      <c r="D591" s="11" t="s">
        <v>216</v>
      </c>
      <c r="E591" s="19">
        <v>-19880</v>
      </c>
      <c r="F591" t="s">
        <v>133</v>
      </c>
    </row>
    <row r="592" spans="1:6" x14ac:dyDescent="0.25">
      <c r="A592" s="11" t="s">
        <v>261</v>
      </c>
      <c r="B592" s="11">
        <v>22</v>
      </c>
      <c r="C592" s="11" t="s">
        <v>135</v>
      </c>
      <c r="D592" s="11" t="s">
        <v>424</v>
      </c>
      <c r="E592" s="19">
        <v>76720.66</v>
      </c>
      <c r="F592" t="s">
        <v>133</v>
      </c>
    </row>
    <row r="593" spans="1:6" x14ac:dyDescent="0.25">
      <c r="A593" s="11" t="s">
        <v>261</v>
      </c>
      <c r="B593" s="11">
        <v>22</v>
      </c>
      <c r="C593" s="11" t="s">
        <v>135</v>
      </c>
      <c r="D593" s="11" t="s">
        <v>426</v>
      </c>
      <c r="E593" s="19">
        <v>9520000</v>
      </c>
      <c r="F593" t="s">
        <v>133</v>
      </c>
    </row>
    <row r="594" spans="1:6" x14ac:dyDescent="0.25">
      <c r="A594" s="11" t="s">
        <v>261</v>
      </c>
      <c r="B594" s="11">
        <v>22</v>
      </c>
      <c r="C594" s="11" t="s">
        <v>135</v>
      </c>
      <c r="D594" s="11" t="s">
        <v>421</v>
      </c>
      <c r="E594" s="19">
        <v>-8120000</v>
      </c>
      <c r="F594" t="s">
        <v>133</v>
      </c>
    </row>
    <row r="595" spans="1:6" x14ac:dyDescent="0.25">
      <c r="A595" s="11" t="s">
        <v>261</v>
      </c>
      <c r="B595" s="11">
        <v>22</v>
      </c>
      <c r="C595" s="11" t="s">
        <v>136</v>
      </c>
      <c r="D595" s="11" t="s">
        <v>334</v>
      </c>
      <c r="E595" s="19">
        <v>80000</v>
      </c>
      <c r="F595" t="s">
        <v>133</v>
      </c>
    </row>
    <row r="596" spans="1:6" x14ac:dyDescent="0.25">
      <c r="A596" s="11" t="s">
        <v>261</v>
      </c>
      <c r="B596" s="11">
        <v>22</v>
      </c>
      <c r="C596" s="11" t="s">
        <v>136</v>
      </c>
      <c r="D596" s="11" t="s">
        <v>425</v>
      </c>
      <c r="E596" s="19">
        <v>11665542.960000001</v>
      </c>
      <c r="F596" t="s">
        <v>133</v>
      </c>
    </row>
    <row r="597" spans="1:6" x14ac:dyDescent="0.25">
      <c r="A597" s="11" t="s">
        <v>261</v>
      </c>
      <c r="B597" s="11">
        <v>22</v>
      </c>
      <c r="C597" s="11" t="s">
        <v>136</v>
      </c>
      <c r="D597" s="11" t="s">
        <v>197</v>
      </c>
      <c r="E597" s="19">
        <v>-125000</v>
      </c>
      <c r="F597" t="s">
        <v>133</v>
      </c>
    </row>
    <row r="598" spans="1:6" x14ac:dyDescent="0.25">
      <c r="A598" s="11" t="s">
        <v>261</v>
      </c>
      <c r="B598" s="11">
        <v>22</v>
      </c>
      <c r="C598" s="11" t="s">
        <v>136</v>
      </c>
      <c r="D598" s="11" t="s">
        <v>216</v>
      </c>
      <c r="E598" s="19">
        <v>-14200</v>
      </c>
      <c r="F598" t="s">
        <v>133</v>
      </c>
    </row>
    <row r="599" spans="1:6" x14ac:dyDescent="0.25">
      <c r="A599" s="11" t="s">
        <v>261</v>
      </c>
      <c r="B599" s="11">
        <v>22</v>
      </c>
      <c r="C599" s="11" t="s">
        <v>136</v>
      </c>
      <c r="D599" s="11" t="s">
        <v>424</v>
      </c>
      <c r="E599" s="19">
        <v>54800.47</v>
      </c>
      <c r="F599" t="s">
        <v>133</v>
      </c>
    </row>
    <row r="600" spans="1:6" x14ac:dyDescent="0.25">
      <c r="A600" s="11" t="s">
        <v>261</v>
      </c>
      <c r="B600" s="11">
        <v>22</v>
      </c>
      <c r="C600" s="11" t="s">
        <v>136</v>
      </c>
      <c r="D600" s="11" t="s">
        <v>426</v>
      </c>
      <c r="E600" s="19">
        <v>6800000</v>
      </c>
      <c r="F600" t="s">
        <v>133</v>
      </c>
    </row>
    <row r="601" spans="1:6" x14ac:dyDescent="0.25">
      <c r="A601" s="11" t="s">
        <v>261</v>
      </c>
      <c r="B601" s="11">
        <v>22</v>
      </c>
      <c r="C601" s="11" t="s">
        <v>136</v>
      </c>
      <c r="D601" s="11" t="s">
        <v>421</v>
      </c>
      <c r="E601" s="19">
        <v>-5800000</v>
      </c>
      <c r="F601" t="s">
        <v>133</v>
      </c>
    </row>
    <row r="602" spans="1:6" x14ac:dyDescent="0.25">
      <c r="A602" s="11" t="s">
        <v>261</v>
      </c>
      <c r="B602" s="11">
        <v>22</v>
      </c>
      <c r="C602" s="11" t="s">
        <v>137</v>
      </c>
      <c r="D602" s="11" t="s">
        <v>334</v>
      </c>
      <c r="E602" s="19">
        <v>96000</v>
      </c>
      <c r="F602" t="s">
        <v>133</v>
      </c>
    </row>
    <row r="603" spans="1:6" x14ac:dyDescent="0.25">
      <c r="A603" s="11" t="s">
        <v>261</v>
      </c>
      <c r="B603" s="11">
        <v>22</v>
      </c>
      <c r="C603" s="11" t="s">
        <v>137</v>
      </c>
      <c r="D603" s="11" t="s">
        <v>425</v>
      </c>
      <c r="E603" s="19">
        <v>14037937.539999999</v>
      </c>
      <c r="F603" t="s">
        <v>133</v>
      </c>
    </row>
    <row r="604" spans="1:6" x14ac:dyDescent="0.25">
      <c r="A604" s="11" t="s">
        <v>261</v>
      </c>
      <c r="B604" s="11">
        <v>22</v>
      </c>
      <c r="C604" s="11" t="s">
        <v>137</v>
      </c>
      <c r="D604" s="11" t="s">
        <v>197</v>
      </c>
      <c r="E604" s="19">
        <v>-150000</v>
      </c>
      <c r="F604" t="s">
        <v>133</v>
      </c>
    </row>
    <row r="605" spans="1:6" x14ac:dyDescent="0.25">
      <c r="A605" s="11" t="s">
        <v>261</v>
      </c>
      <c r="B605" s="11">
        <v>22</v>
      </c>
      <c r="C605" s="11" t="s">
        <v>137</v>
      </c>
      <c r="D605" s="11" t="s">
        <v>216</v>
      </c>
      <c r="E605" s="19">
        <v>-17040</v>
      </c>
      <c r="F605" t="s">
        <v>133</v>
      </c>
    </row>
    <row r="606" spans="1:6" x14ac:dyDescent="0.25">
      <c r="A606" s="11" t="s">
        <v>261</v>
      </c>
      <c r="B606" s="11">
        <v>22</v>
      </c>
      <c r="C606" s="11" t="s">
        <v>137</v>
      </c>
      <c r="D606" s="11" t="s">
        <v>424</v>
      </c>
      <c r="E606" s="19">
        <v>65760.570000000007</v>
      </c>
      <c r="F606" t="s">
        <v>133</v>
      </c>
    </row>
    <row r="607" spans="1:6" x14ac:dyDescent="0.25">
      <c r="A607" s="11" t="s">
        <v>261</v>
      </c>
      <c r="B607" s="11">
        <v>22</v>
      </c>
      <c r="C607" s="11" t="s">
        <v>137</v>
      </c>
      <c r="D607" s="11" t="s">
        <v>426</v>
      </c>
      <c r="E607" s="19">
        <v>8160000</v>
      </c>
      <c r="F607" t="s">
        <v>133</v>
      </c>
    </row>
    <row r="608" spans="1:6" x14ac:dyDescent="0.25">
      <c r="A608" s="11" t="s">
        <v>261</v>
      </c>
      <c r="B608" s="11">
        <v>22</v>
      </c>
      <c r="C608" s="11" t="s">
        <v>137</v>
      </c>
      <c r="D608" s="11" t="s">
        <v>421</v>
      </c>
      <c r="E608" s="19">
        <v>-6960000</v>
      </c>
      <c r="F608" t="s">
        <v>133</v>
      </c>
    </row>
    <row r="609" spans="1:6" x14ac:dyDescent="0.25">
      <c r="A609" s="11" t="s">
        <v>261</v>
      </c>
      <c r="B609" s="11">
        <v>22</v>
      </c>
      <c r="C609" s="11" t="s">
        <v>139</v>
      </c>
      <c r="D609" s="11" t="s">
        <v>334</v>
      </c>
      <c r="E609" s="19">
        <v>128000</v>
      </c>
      <c r="F609" t="s">
        <v>133</v>
      </c>
    </row>
    <row r="610" spans="1:6" x14ac:dyDescent="0.25">
      <c r="A610" s="11" t="s">
        <v>261</v>
      </c>
      <c r="B610" s="11">
        <v>22</v>
      </c>
      <c r="C610" s="11" t="s">
        <v>139</v>
      </c>
      <c r="D610" s="11" t="s">
        <v>425</v>
      </c>
      <c r="E610" s="19">
        <v>18717250.07</v>
      </c>
      <c r="F610" t="s">
        <v>133</v>
      </c>
    </row>
    <row r="611" spans="1:6" x14ac:dyDescent="0.25">
      <c r="A611" s="11" t="s">
        <v>261</v>
      </c>
      <c r="B611" s="11">
        <v>22</v>
      </c>
      <c r="C611" s="11" t="s">
        <v>139</v>
      </c>
      <c r="D611" s="11" t="s">
        <v>197</v>
      </c>
      <c r="E611" s="19">
        <v>-200000</v>
      </c>
      <c r="F611" t="s">
        <v>133</v>
      </c>
    </row>
    <row r="612" spans="1:6" x14ac:dyDescent="0.25">
      <c r="A612" s="11" t="s">
        <v>261</v>
      </c>
      <c r="B612" s="11">
        <v>22</v>
      </c>
      <c r="C612" s="11" t="s">
        <v>139</v>
      </c>
      <c r="D612" s="11" t="s">
        <v>216</v>
      </c>
      <c r="E612" s="19">
        <v>-22720</v>
      </c>
      <c r="F612" t="s">
        <v>133</v>
      </c>
    </row>
    <row r="613" spans="1:6" x14ac:dyDescent="0.25">
      <c r="A613" s="11" t="s">
        <v>261</v>
      </c>
      <c r="B613" s="11">
        <v>22</v>
      </c>
      <c r="C613" s="11" t="s">
        <v>139</v>
      </c>
      <c r="D613" s="11" t="s">
        <v>424</v>
      </c>
      <c r="E613" s="19">
        <v>87680.77</v>
      </c>
      <c r="F613" t="s">
        <v>133</v>
      </c>
    </row>
    <row r="614" spans="1:6" x14ac:dyDescent="0.25">
      <c r="A614" s="11" t="s">
        <v>261</v>
      </c>
      <c r="B614" s="11">
        <v>22</v>
      </c>
      <c r="C614" s="11" t="s">
        <v>139</v>
      </c>
      <c r="D614" s="11" t="s">
        <v>426</v>
      </c>
      <c r="E614" s="19">
        <v>10880000</v>
      </c>
      <c r="F614" t="s">
        <v>133</v>
      </c>
    </row>
    <row r="615" spans="1:6" x14ac:dyDescent="0.25">
      <c r="A615" s="11" t="s">
        <v>261</v>
      </c>
      <c r="B615" s="11">
        <v>22</v>
      </c>
      <c r="C615" s="11" t="s">
        <v>139</v>
      </c>
      <c r="D615" s="11" t="s">
        <v>421</v>
      </c>
      <c r="E615" s="19">
        <v>-9280000</v>
      </c>
      <c r="F615" t="s">
        <v>133</v>
      </c>
    </row>
    <row r="616" spans="1:6" x14ac:dyDescent="0.25">
      <c r="A616" s="11" t="s">
        <v>261</v>
      </c>
      <c r="B616" s="11">
        <v>22</v>
      </c>
      <c r="C616" s="11" t="s">
        <v>72</v>
      </c>
      <c r="D616" s="11" t="s">
        <v>117</v>
      </c>
      <c r="E616" s="19">
        <v>-133795.57999999999</v>
      </c>
      <c r="F616" t="s">
        <v>131</v>
      </c>
    </row>
    <row r="617" spans="1:6" x14ac:dyDescent="0.25">
      <c r="A617" s="11" t="s">
        <v>261</v>
      </c>
      <c r="B617" s="11">
        <v>22</v>
      </c>
      <c r="C617" s="11" t="s">
        <v>132</v>
      </c>
      <c r="D617" s="11" t="s">
        <v>117</v>
      </c>
      <c r="E617" s="19">
        <v>-1450272.94</v>
      </c>
      <c r="F617" t="s">
        <v>133</v>
      </c>
    </row>
    <row r="618" spans="1:6" x14ac:dyDescent="0.25">
      <c r="A618" s="11" t="s">
        <v>261</v>
      </c>
      <c r="B618" s="11">
        <v>22</v>
      </c>
      <c r="C618" s="11" t="s">
        <v>134</v>
      </c>
      <c r="D618" s="11" t="s">
        <v>117</v>
      </c>
      <c r="E618" s="19">
        <v>-773478.9</v>
      </c>
      <c r="F618" t="s">
        <v>133</v>
      </c>
    </row>
    <row r="619" spans="1:6" x14ac:dyDescent="0.25">
      <c r="A619" s="11" t="s">
        <v>261</v>
      </c>
      <c r="B619" s="11">
        <v>22</v>
      </c>
      <c r="C619" s="11" t="s">
        <v>135</v>
      </c>
      <c r="D619" s="11" t="s">
        <v>117</v>
      </c>
      <c r="E619" s="19">
        <v>-740634.07</v>
      </c>
      <c r="F619" t="s">
        <v>133</v>
      </c>
    </row>
    <row r="620" spans="1:6" x14ac:dyDescent="0.25">
      <c r="A620" s="11" t="s">
        <v>261</v>
      </c>
      <c r="B620" s="11">
        <v>22</v>
      </c>
      <c r="C620" s="11" t="s">
        <v>136</v>
      </c>
      <c r="D620" s="11" t="s">
        <v>117</v>
      </c>
      <c r="E620" s="19">
        <v>-529024.32999999996</v>
      </c>
      <c r="F620" t="s">
        <v>133</v>
      </c>
    </row>
    <row r="621" spans="1:6" x14ac:dyDescent="0.25">
      <c r="A621" s="11" t="s">
        <v>261</v>
      </c>
      <c r="B621" s="11">
        <v>22</v>
      </c>
      <c r="C621" s="11" t="s">
        <v>137</v>
      </c>
      <c r="D621" s="11" t="s">
        <v>117</v>
      </c>
      <c r="E621" s="19">
        <v>-640968.55000000005</v>
      </c>
      <c r="F621" t="s">
        <v>133</v>
      </c>
    </row>
    <row r="622" spans="1:6" x14ac:dyDescent="0.25">
      <c r="A622" s="11" t="s">
        <v>261</v>
      </c>
      <c r="B622" s="11">
        <v>22</v>
      </c>
      <c r="C622" s="11" t="s">
        <v>139</v>
      </c>
      <c r="D622" s="11" t="s">
        <v>117</v>
      </c>
      <c r="E622" s="19">
        <v>-854624.72</v>
      </c>
      <c r="F622" t="s">
        <v>133</v>
      </c>
    </row>
    <row r="623" spans="1:6" x14ac:dyDescent="0.25">
      <c r="A623" s="11" t="s">
        <v>261</v>
      </c>
      <c r="B623" s="11">
        <v>22</v>
      </c>
      <c r="C623" s="11" t="s">
        <v>422</v>
      </c>
      <c r="D623" s="11" t="s">
        <v>117</v>
      </c>
      <c r="E623" s="19">
        <v>5122799.09</v>
      </c>
      <c r="F623" t="s">
        <v>423</v>
      </c>
    </row>
    <row r="624" spans="1:6" x14ac:dyDescent="0.25">
      <c r="A624" s="11" t="s">
        <v>264</v>
      </c>
      <c r="B624" s="11">
        <v>23</v>
      </c>
      <c r="C624" s="11" t="s">
        <v>72</v>
      </c>
      <c r="D624" s="11" t="s">
        <v>216</v>
      </c>
      <c r="E624" s="19">
        <v>-2840</v>
      </c>
      <c r="F624" t="s">
        <v>131</v>
      </c>
    </row>
    <row r="625" spans="1:6" x14ac:dyDescent="0.25">
      <c r="A625" s="11" t="s">
        <v>264</v>
      </c>
      <c r="B625" s="11">
        <v>23</v>
      </c>
      <c r="C625" s="11" t="s">
        <v>72</v>
      </c>
      <c r="D625" s="11" t="s">
        <v>424</v>
      </c>
      <c r="E625" s="19">
        <v>11288.9</v>
      </c>
      <c r="F625" t="s">
        <v>131</v>
      </c>
    </row>
    <row r="626" spans="1:6" x14ac:dyDescent="0.25">
      <c r="A626" s="11" t="s">
        <v>264</v>
      </c>
      <c r="B626" s="11">
        <v>23</v>
      </c>
      <c r="C626" s="11" t="s">
        <v>72</v>
      </c>
      <c r="D626" s="11" t="s">
        <v>421</v>
      </c>
      <c r="E626" s="19">
        <v>520000</v>
      </c>
      <c r="F626" t="s">
        <v>131</v>
      </c>
    </row>
    <row r="627" spans="1:6" x14ac:dyDescent="0.25">
      <c r="A627" s="11" t="s">
        <v>264</v>
      </c>
      <c r="B627" s="11">
        <v>23</v>
      </c>
      <c r="C627" s="11" t="s">
        <v>132</v>
      </c>
      <c r="D627" s="11" t="s">
        <v>197</v>
      </c>
      <c r="E627" s="19">
        <v>-375000</v>
      </c>
      <c r="F627" t="s">
        <v>133</v>
      </c>
    </row>
    <row r="628" spans="1:6" x14ac:dyDescent="0.25">
      <c r="A628" s="11" t="s">
        <v>264</v>
      </c>
      <c r="B628" s="11">
        <v>23</v>
      </c>
      <c r="C628" s="11" t="s">
        <v>132</v>
      </c>
      <c r="D628" s="11" t="s">
        <v>216</v>
      </c>
      <c r="E628" s="19">
        <v>-42600</v>
      </c>
      <c r="F628" t="s">
        <v>133</v>
      </c>
    </row>
    <row r="629" spans="1:6" x14ac:dyDescent="0.25">
      <c r="A629" s="11" t="s">
        <v>264</v>
      </c>
      <c r="B629" s="11">
        <v>23</v>
      </c>
      <c r="C629" s="11" t="s">
        <v>132</v>
      </c>
      <c r="D629" s="11" t="s">
        <v>424</v>
      </c>
      <c r="E629" s="19">
        <v>169333.46</v>
      </c>
      <c r="F629" t="s">
        <v>133</v>
      </c>
    </row>
    <row r="630" spans="1:6" x14ac:dyDescent="0.25">
      <c r="A630" s="11" t="s">
        <v>264</v>
      </c>
      <c r="B630" s="11">
        <v>23</v>
      </c>
      <c r="C630" s="11" t="s">
        <v>132</v>
      </c>
      <c r="D630" s="11" t="s">
        <v>421</v>
      </c>
      <c r="E630" s="19">
        <v>7800000</v>
      </c>
      <c r="F630" t="s">
        <v>133</v>
      </c>
    </row>
    <row r="631" spans="1:6" x14ac:dyDescent="0.25">
      <c r="A631" s="11" t="s">
        <v>264</v>
      </c>
      <c r="B631" s="11">
        <v>23</v>
      </c>
      <c r="C631" s="11" t="s">
        <v>134</v>
      </c>
      <c r="D631" s="11" t="s">
        <v>197</v>
      </c>
      <c r="E631" s="19">
        <v>-200000</v>
      </c>
      <c r="F631" t="s">
        <v>133</v>
      </c>
    </row>
    <row r="632" spans="1:6" x14ac:dyDescent="0.25">
      <c r="A632" s="11" t="s">
        <v>264</v>
      </c>
      <c r="B632" s="11">
        <v>23</v>
      </c>
      <c r="C632" s="11" t="s">
        <v>134</v>
      </c>
      <c r="D632" s="11" t="s">
        <v>216</v>
      </c>
      <c r="E632" s="19">
        <v>-22720</v>
      </c>
      <c r="F632" t="s">
        <v>133</v>
      </c>
    </row>
    <row r="633" spans="1:6" x14ac:dyDescent="0.25">
      <c r="A633" s="11" t="s">
        <v>264</v>
      </c>
      <c r="B633" s="11">
        <v>23</v>
      </c>
      <c r="C633" s="11" t="s">
        <v>134</v>
      </c>
      <c r="D633" s="11" t="s">
        <v>424</v>
      </c>
      <c r="E633" s="19">
        <v>90311.18</v>
      </c>
      <c r="F633" t="s">
        <v>133</v>
      </c>
    </row>
    <row r="634" spans="1:6" x14ac:dyDescent="0.25">
      <c r="A634" s="11" t="s">
        <v>264</v>
      </c>
      <c r="B634" s="11">
        <v>23</v>
      </c>
      <c r="C634" s="11" t="s">
        <v>134</v>
      </c>
      <c r="D634" s="11" t="s">
        <v>421</v>
      </c>
      <c r="E634" s="19">
        <v>4160000</v>
      </c>
      <c r="F634" t="s">
        <v>133</v>
      </c>
    </row>
    <row r="635" spans="1:6" x14ac:dyDescent="0.25">
      <c r="A635" s="11" t="s">
        <v>264</v>
      </c>
      <c r="B635" s="11">
        <v>23</v>
      </c>
      <c r="C635" s="11" t="s">
        <v>135</v>
      </c>
      <c r="D635" s="11" t="s">
        <v>197</v>
      </c>
      <c r="E635" s="19">
        <v>-175000</v>
      </c>
      <c r="F635" t="s">
        <v>133</v>
      </c>
    </row>
    <row r="636" spans="1:6" x14ac:dyDescent="0.25">
      <c r="A636" s="11" t="s">
        <v>264</v>
      </c>
      <c r="B636" s="11">
        <v>23</v>
      </c>
      <c r="C636" s="11" t="s">
        <v>135</v>
      </c>
      <c r="D636" s="11" t="s">
        <v>216</v>
      </c>
      <c r="E636" s="19">
        <v>-19880</v>
      </c>
      <c r="F636" t="s">
        <v>133</v>
      </c>
    </row>
    <row r="637" spans="1:6" x14ac:dyDescent="0.25">
      <c r="A637" s="11" t="s">
        <v>264</v>
      </c>
      <c r="B637" s="11">
        <v>23</v>
      </c>
      <c r="C637" s="11" t="s">
        <v>135</v>
      </c>
      <c r="D637" s="11" t="s">
        <v>424</v>
      </c>
      <c r="E637" s="19">
        <v>79022.28</v>
      </c>
      <c r="F637" t="s">
        <v>133</v>
      </c>
    </row>
    <row r="638" spans="1:6" x14ac:dyDescent="0.25">
      <c r="A638" s="11" t="s">
        <v>264</v>
      </c>
      <c r="B638" s="11">
        <v>23</v>
      </c>
      <c r="C638" s="11" t="s">
        <v>135</v>
      </c>
      <c r="D638" s="11" t="s">
        <v>421</v>
      </c>
      <c r="E638" s="19">
        <v>3640000</v>
      </c>
      <c r="F638" t="s">
        <v>133</v>
      </c>
    </row>
    <row r="639" spans="1:6" x14ac:dyDescent="0.25">
      <c r="A639" s="11" t="s">
        <v>264</v>
      </c>
      <c r="B639" s="11">
        <v>23</v>
      </c>
      <c r="C639" s="11" t="s">
        <v>136</v>
      </c>
      <c r="D639" s="11" t="s">
        <v>197</v>
      </c>
      <c r="E639" s="19">
        <v>-125000</v>
      </c>
      <c r="F639" t="s">
        <v>133</v>
      </c>
    </row>
    <row r="640" spans="1:6" x14ac:dyDescent="0.25">
      <c r="A640" s="11" t="s">
        <v>264</v>
      </c>
      <c r="B640" s="11">
        <v>23</v>
      </c>
      <c r="C640" s="11" t="s">
        <v>136</v>
      </c>
      <c r="D640" s="11" t="s">
        <v>216</v>
      </c>
      <c r="E640" s="19">
        <v>-14200</v>
      </c>
      <c r="F640" t="s">
        <v>133</v>
      </c>
    </row>
    <row r="641" spans="1:6" x14ac:dyDescent="0.25">
      <c r="A641" s="11" t="s">
        <v>264</v>
      </c>
      <c r="B641" s="11">
        <v>23</v>
      </c>
      <c r="C641" s="11" t="s">
        <v>136</v>
      </c>
      <c r="D641" s="11" t="s">
        <v>424</v>
      </c>
      <c r="E641" s="19">
        <v>56444.49</v>
      </c>
      <c r="F641" t="s">
        <v>133</v>
      </c>
    </row>
    <row r="642" spans="1:6" x14ac:dyDescent="0.25">
      <c r="A642" s="11" t="s">
        <v>264</v>
      </c>
      <c r="B642" s="11">
        <v>23</v>
      </c>
      <c r="C642" s="11" t="s">
        <v>136</v>
      </c>
      <c r="D642" s="11" t="s">
        <v>421</v>
      </c>
      <c r="E642" s="19">
        <v>2600000</v>
      </c>
      <c r="F642" t="s">
        <v>133</v>
      </c>
    </row>
    <row r="643" spans="1:6" x14ac:dyDescent="0.25">
      <c r="A643" s="11" t="s">
        <v>264</v>
      </c>
      <c r="B643" s="11">
        <v>23</v>
      </c>
      <c r="C643" s="11" t="s">
        <v>137</v>
      </c>
      <c r="D643" s="11" t="s">
        <v>197</v>
      </c>
      <c r="E643" s="19">
        <v>-150000</v>
      </c>
      <c r="F643" t="s">
        <v>133</v>
      </c>
    </row>
    <row r="644" spans="1:6" x14ac:dyDescent="0.25">
      <c r="A644" s="11" t="s">
        <v>264</v>
      </c>
      <c r="B644" s="11">
        <v>23</v>
      </c>
      <c r="C644" s="11" t="s">
        <v>137</v>
      </c>
      <c r="D644" s="11" t="s">
        <v>216</v>
      </c>
      <c r="E644" s="19">
        <v>-17040</v>
      </c>
      <c r="F644" t="s">
        <v>133</v>
      </c>
    </row>
    <row r="645" spans="1:6" x14ac:dyDescent="0.25">
      <c r="A645" s="11" t="s">
        <v>264</v>
      </c>
      <c r="B645" s="11">
        <v>23</v>
      </c>
      <c r="C645" s="11" t="s">
        <v>137</v>
      </c>
      <c r="D645" s="11" t="s">
        <v>424</v>
      </c>
      <c r="E645" s="19">
        <v>67733.39</v>
      </c>
      <c r="F645" t="s">
        <v>133</v>
      </c>
    </row>
    <row r="646" spans="1:6" x14ac:dyDescent="0.25">
      <c r="A646" s="11" t="s">
        <v>264</v>
      </c>
      <c r="B646" s="11">
        <v>23</v>
      </c>
      <c r="C646" s="11" t="s">
        <v>137</v>
      </c>
      <c r="D646" s="11" t="s">
        <v>421</v>
      </c>
      <c r="E646" s="19">
        <v>3120000</v>
      </c>
      <c r="F646" t="s">
        <v>133</v>
      </c>
    </row>
    <row r="647" spans="1:6" x14ac:dyDescent="0.25">
      <c r="A647" s="11" t="s">
        <v>264</v>
      </c>
      <c r="B647" s="11">
        <v>23</v>
      </c>
      <c r="C647" s="11" t="s">
        <v>139</v>
      </c>
      <c r="D647" s="11" t="s">
        <v>197</v>
      </c>
      <c r="E647" s="19">
        <v>-200000</v>
      </c>
      <c r="F647" t="s">
        <v>133</v>
      </c>
    </row>
    <row r="648" spans="1:6" x14ac:dyDescent="0.25">
      <c r="A648" s="11" t="s">
        <v>264</v>
      </c>
      <c r="B648" s="11">
        <v>23</v>
      </c>
      <c r="C648" s="11" t="s">
        <v>139</v>
      </c>
      <c r="D648" s="11" t="s">
        <v>216</v>
      </c>
      <c r="E648" s="19">
        <v>-22720</v>
      </c>
      <c r="F648" t="s">
        <v>133</v>
      </c>
    </row>
    <row r="649" spans="1:6" x14ac:dyDescent="0.25">
      <c r="A649" s="11" t="s">
        <v>264</v>
      </c>
      <c r="B649" s="11">
        <v>23</v>
      </c>
      <c r="C649" s="11" t="s">
        <v>139</v>
      </c>
      <c r="D649" s="11" t="s">
        <v>424</v>
      </c>
      <c r="E649" s="19">
        <v>90311.18</v>
      </c>
      <c r="F649" t="s">
        <v>133</v>
      </c>
    </row>
    <row r="650" spans="1:6" x14ac:dyDescent="0.25">
      <c r="A650" s="11" t="s">
        <v>264</v>
      </c>
      <c r="B650" s="11">
        <v>23</v>
      </c>
      <c r="C650" s="11" t="s">
        <v>139</v>
      </c>
      <c r="D650" s="11" t="s">
        <v>421</v>
      </c>
      <c r="E650" s="19">
        <v>4160000</v>
      </c>
      <c r="F650" t="s">
        <v>133</v>
      </c>
    </row>
    <row r="651" spans="1:6" x14ac:dyDescent="0.25">
      <c r="A651" s="11" t="s">
        <v>264</v>
      </c>
      <c r="B651" s="11">
        <v>23</v>
      </c>
      <c r="C651" s="11" t="s">
        <v>72</v>
      </c>
      <c r="D651" s="11" t="s">
        <v>117</v>
      </c>
      <c r="E651" s="19">
        <v>-222522.04</v>
      </c>
      <c r="F651" t="s">
        <v>131</v>
      </c>
    </row>
    <row r="652" spans="1:6" x14ac:dyDescent="0.25">
      <c r="A652" s="11" t="s">
        <v>264</v>
      </c>
      <c r="B652" s="11">
        <v>23</v>
      </c>
      <c r="C652" s="11" t="s">
        <v>132</v>
      </c>
      <c r="D652" s="11" t="s">
        <v>117</v>
      </c>
      <c r="E652" s="19">
        <v>-2739617.05</v>
      </c>
      <c r="F652" t="s">
        <v>133</v>
      </c>
    </row>
    <row r="653" spans="1:6" x14ac:dyDescent="0.25">
      <c r="A653" s="11" t="s">
        <v>264</v>
      </c>
      <c r="B653" s="11">
        <v>23</v>
      </c>
      <c r="C653" s="11" t="s">
        <v>134</v>
      </c>
      <c r="D653" s="11" t="s">
        <v>117</v>
      </c>
      <c r="E653" s="19">
        <v>-1461129.09</v>
      </c>
      <c r="F653" t="s">
        <v>133</v>
      </c>
    </row>
    <row r="654" spans="1:6" x14ac:dyDescent="0.25">
      <c r="A654" s="11" t="s">
        <v>264</v>
      </c>
      <c r="B654" s="11">
        <v>23</v>
      </c>
      <c r="C654" s="11" t="s">
        <v>135</v>
      </c>
      <c r="D654" s="11" t="s">
        <v>117</v>
      </c>
      <c r="E654" s="19">
        <v>-1341522.54</v>
      </c>
      <c r="F654" t="s">
        <v>133</v>
      </c>
    </row>
    <row r="655" spans="1:6" x14ac:dyDescent="0.25">
      <c r="A655" s="11" t="s">
        <v>264</v>
      </c>
      <c r="B655" s="11">
        <v>23</v>
      </c>
      <c r="C655" s="11" t="s">
        <v>136</v>
      </c>
      <c r="D655" s="11" t="s">
        <v>117</v>
      </c>
      <c r="E655" s="19">
        <v>-958230.39</v>
      </c>
      <c r="F655" t="s">
        <v>133</v>
      </c>
    </row>
    <row r="656" spans="1:6" x14ac:dyDescent="0.25">
      <c r="A656" s="11" t="s">
        <v>264</v>
      </c>
      <c r="B656" s="11">
        <v>23</v>
      </c>
      <c r="C656" s="11" t="s">
        <v>137</v>
      </c>
      <c r="D656" s="11" t="s">
        <v>117</v>
      </c>
      <c r="E656" s="19">
        <v>-1155938.3500000001</v>
      </c>
      <c r="F656" t="s">
        <v>133</v>
      </c>
    </row>
    <row r="657" spans="1:6" x14ac:dyDescent="0.25">
      <c r="A657" s="11" t="s">
        <v>264</v>
      </c>
      <c r="B657" s="11">
        <v>23</v>
      </c>
      <c r="C657" s="11" t="s">
        <v>139</v>
      </c>
      <c r="D657" s="11" t="s">
        <v>117</v>
      </c>
      <c r="E657" s="19">
        <v>-1541251.16</v>
      </c>
      <c r="F657" t="s">
        <v>133</v>
      </c>
    </row>
    <row r="658" spans="1:6" x14ac:dyDescent="0.25">
      <c r="A658" s="11" t="s">
        <v>264</v>
      </c>
      <c r="B658" s="11">
        <v>23</v>
      </c>
      <c r="C658" s="11" t="s">
        <v>422</v>
      </c>
      <c r="D658" s="11" t="s">
        <v>117</v>
      </c>
      <c r="E658" s="19">
        <v>9420210.6199999992</v>
      </c>
      <c r="F658" t="s">
        <v>423</v>
      </c>
    </row>
    <row r="659" spans="1:6" x14ac:dyDescent="0.25">
      <c r="A659" s="11" t="s">
        <v>265</v>
      </c>
      <c r="B659" s="11">
        <v>24</v>
      </c>
      <c r="C659" s="11" t="s">
        <v>72</v>
      </c>
      <c r="D659" s="11" t="s">
        <v>216</v>
      </c>
      <c r="E659" s="19">
        <v>-2670</v>
      </c>
      <c r="F659" t="s">
        <v>131</v>
      </c>
    </row>
    <row r="660" spans="1:6" x14ac:dyDescent="0.25">
      <c r="A660" s="11" t="s">
        <v>265</v>
      </c>
      <c r="B660" s="11">
        <v>24</v>
      </c>
      <c r="C660" s="11" t="s">
        <v>72</v>
      </c>
      <c r="D660" s="11" t="s">
        <v>424</v>
      </c>
      <c r="E660" s="19">
        <v>11627.56</v>
      </c>
      <c r="F660" t="s">
        <v>131</v>
      </c>
    </row>
    <row r="661" spans="1:6" x14ac:dyDescent="0.25">
      <c r="A661" s="11" t="s">
        <v>265</v>
      </c>
      <c r="B661" s="11">
        <v>24</v>
      </c>
      <c r="C661" s="11" t="s">
        <v>72</v>
      </c>
      <c r="D661" s="11" t="s">
        <v>426</v>
      </c>
      <c r="E661" s="19">
        <v>-240000</v>
      </c>
      <c r="F661" t="s">
        <v>131</v>
      </c>
    </row>
    <row r="662" spans="1:6" x14ac:dyDescent="0.25">
      <c r="A662" s="11" t="s">
        <v>265</v>
      </c>
      <c r="B662" s="11">
        <v>24</v>
      </c>
      <c r="C662" s="11" t="s">
        <v>72</v>
      </c>
      <c r="D662" s="11" t="s">
        <v>421</v>
      </c>
      <c r="E662" s="19">
        <v>340000</v>
      </c>
      <c r="F662" t="s">
        <v>131</v>
      </c>
    </row>
    <row r="663" spans="1:6" x14ac:dyDescent="0.25">
      <c r="A663" s="11" t="s">
        <v>265</v>
      </c>
      <c r="B663" s="11">
        <v>24</v>
      </c>
      <c r="C663" s="11" t="s">
        <v>132</v>
      </c>
      <c r="D663" s="11" t="s">
        <v>197</v>
      </c>
      <c r="E663" s="19">
        <v>-375000</v>
      </c>
      <c r="F663" t="s">
        <v>133</v>
      </c>
    </row>
    <row r="664" spans="1:6" x14ac:dyDescent="0.25">
      <c r="A664" s="11" t="s">
        <v>265</v>
      </c>
      <c r="B664" s="11">
        <v>24</v>
      </c>
      <c r="C664" s="11" t="s">
        <v>132</v>
      </c>
      <c r="D664" s="11" t="s">
        <v>216</v>
      </c>
      <c r="E664" s="19">
        <v>-40050</v>
      </c>
      <c r="F664" t="s">
        <v>133</v>
      </c>
    </row>
    <row r="665" spans="1:6" x14ac:dyDescent="0.25">
      <c r="A665" s="11" t="s">
        <v>265</v>
      </c>
      <c r="B665" s="11">
        <v>24</v>
      </c>
      <c r="C665" s="11" t="s">
        <v>132</v>
      </c>
      <c r="D665" s="11" t="s">
        <v>424</v>
      </c>
      <c r="E665" s="19">
        <v>174413.47</v>
      </c>
      <c r="F665" t="s">
        <v>133</v>
      </c>
    </row>
    <row r="666" spans="1:6" x14ac:dyDescent="0.25">
      <c r="A666" s="11" t="s">
        <v>265</v>
      </c>
      <c r="B666" s="11">
        <v>24</v>
      </c>
      <c r="C666" s="11" t="s">
        <v>132</v>
      </c>
      <c r="D666" s="11" t="s">
        <v>426</v>
      </c>
      <c r="E666" s="19">
        <v>-3600000</v>
      </c>
      <c r="F666" t="s">
        <v>133</v>
      </c>
    </row>
    <row r="667" spans="1:6" x14ac:dyDescent="0.25">
      <c r="A667" s="11" t="s">
        <v>265</v>
      </c>
      <c r="B667" s="11">
        <v>24</v>
      </c>
      <c r="C667" s="11" t="s">
        <v>132</v>
      </c>
      <c r="D667" s="11" t="s">
        <v>421</v>
      </c>
      <c r="E667" s="19">
        <v>5100000</v>
      </c>
      <c r="F667" t="s">
        <v>133</v>
      </c>
    </row>
    <row r="668" spans="1:6" x14ac:dyDescent="0.25">
      <c r="A668" s="11" t="s">
        <v>265</v>
      </c>
      <c r="B668" s="11">
        <v>24</v>
      </c>
      <c r="C668" s="11" t="s">
        <v>134</v>
      </c>
      <c r="D668" s="11" t="s">
        <v>197</v>
      </c>
      <c r="E668" s="19">
        <v>-200000</v>
      </c>
      <c r="F668" t="s">
        <v>133</v>
      </c>
    </row>
    <row r="669" spans="1:6" x14ac:dyDescent="0.25">
      <c r="A669" s="11" t="s">
        <v>265</v>
      </c>
      <c r="B669" s="11">
        <v>24</v>
      </c>
      <c r="C669" s="11" t="s">
        <v>134</v>
      </c>
      <c r="D669" s="11" t="s">
        <v>216</v>
      </c>
      <c r="E669" s="19">
        <v>-21360</v>
      </c>
      <c r="F669" t="s">
        <v>133</v>
      </c>
    </row>
    <row r="670" spans="1:6" x14ac:dyDescent="0.25">
      <c r="A670" s="11" t="s">
        <v>265</v>
      </c>
      <c r="B670" s="11">
        <v>24</v>
      </c>
      <c r="C670" s="11" t="s">
        <v>134</v>
      </c>
      <c r="D670" s="11" t="s">
        <v>424</v>
      </c>
      <c r="E670" s="19">
        <v>93020.52</v>
      </c>
      <c r="F670" t="s">
        <v>133</v>
      </c>
    </row>
    <row r="671" spans="1:6" x14ac:dyDescent="0.25">
      <c r="A671" s="11" t="s">
        <v>265</v>
      </c>
      <c r="B671" s="11">
        <v>24</v>
      </c>
      <c r="C671" s="11" t="s">
        <v>134</v>
      </c>
      <c r="D671" s="11" t="s">
        <v>426</v>
      </c>
      <c r="E671" s="19">
        <v>-1920000</v>
      </c>
      <c r="F671" t="s">
        <v>133</v>
      </c>
    </row>
    <row r="672" spans="1:6" x14ac:dyDescent="0.25">
      <c r="A672" s="11" t="s">
        <v>265</v>
      </c>
      <c r="B672" s="11">
        <v>24</v>
      </c>
      <c r="C672" s="11" t="s">
        <v>134</v>
      </c>
      <c r="D672" s="11" t="s">
        <v>421</v>
      </c>
      <c r="E672" s="19">
        <v>2720000</v>
      </c>
      <c r="F672" t="s">
        <v>133</v>
      </c>
    </row>
    <row r="673" spans="1:6" x14ac:dyDescent="0.25">
      <c r="A673" s="11" t="s">
        <v>265</v>
      </c>
      <c r="B673" s="11">
        <v>24</v>
      </c>
      <c r="C673" s="11" t="s">
        <v>135</v>
      </c>
      <c r="D673" s="11" t="s">
        <v>197</v>
      </c>
      <c r="E673" s="19">
        <v>-175000</v>
      </c>
      <c r="F673" t="s">
        <v>133</v>
      </c>
    </row>
    <row r="674" spans="1:6" x14ac:dyDescent="0.25">
      <c r="A674" s="11" t="s">
        <v>265</v>
      </c>
      <c r="B674" s="11">
        <v>24</v>
      </c>
      <c r="C674" s="11" t="s">
        <v>135</v>
      </c>
      <c r="D674" s="11" t="s">
        <v>216</v>
      </c>
      <c r="E674" s="19">
        <v>-18690</v>
      </c>
      <c r="F674" t="s">
        <v>133</v>
      </c>
    </row>
    <row r="675" spans="1:6" x14ac:dyDescent="0.25">
      <c r="A675" s="11" t="s">
        <v>265</v>
      </c>
      <c r="B675" s="11">
        <v>24</v>
      </c>
      <c r="C675" s="11" t="s">
        <v>135</v>
      </c>
      <c r="D675" s="11" t="s">
        <v>424</v>
      </c>
      <c r="E675" s="19">
        <v>81392.95</v>
      </c>
      <c r="F675" t="s">
        <v>133</v>
      </c>
    </row>
    <row r="676" spans="1:6" x14ac:dyDescent="0.25">
      <c r="A676" s="11" t="s">
        <v>265</v>
      </c>
      <c r="B676" s="11">
        <v>24</v>
      </c>
      <c r="C676" s="11" t="s">
        <v>135</v>
      </c>
      <c r="D676" s="11" t="s">
        <v>426</v>
      </c>
      <c r="E676" s="19">
        <v>-1680000</v>
      </c>
      <c r="F676" t="s">
        <v>133</v>
      </c>
    </row>
    <row r="677" spans="1:6" x14ac:dyDescent="0.25">
      <c r="A677" s="11" t="s">
        <v>265</v>
      </c>
      <c r="B677" s="11">
        <v>24</v>
      </c>
      <c r="C677" s="11" t="s">
        <v>135</v>
      </c>
      <c r="D677" s="11" t="s">
        <v>421</v>
      </c>
      <c r="E677" s="19">
        <v>2380000</v>
      </c>
      <c r="F677" t="s">
        <v>133</v>
      </c>
    </row>
    <row r="678" spans="1:6" x14ac:dyDescent="0.25">
      <c r="A678" s="11" t="s">
        <v>265</v>
      </c>
      <c r="B678" s="11">
        <v>24</v>
      </c>
      <c r="C678" s="11" t="s">
        <v>136</v>
      </c>
      <c r="D678" s="11" t="s">
        <v>197</v>
      </c>
      <c r="E678" s="19">
        <v>-125000</v>
      </c>
      <c r="F678" t="s">
        <v>133</v>
      </c>
    </row>
    <row r="679" spans="1:6" x14ac:dyDescent="0.25">
      <c r="A679" s="11" t="s">
        <v>265</v>
      </c>
      <c r="B679" s="11">
        <v>24</v>
      </c>
      <c r="C679" s="11" t="s">
        <v>136</v>
      </c>
      <c r="D679" s="11" t="s">
        <v>216</v>
      </c>
      <c r="E679" s="19">
        <v>-13350</v>
      </c>
      <c r="F679" t="s">
        <v>133</v>
      </c>
    </row>
    <row r="680" spans="1:6" x14ac:dyDescent="0.25">
      <c r="A680" s="11" t="s">
        <v>265</v>
      </c>
      <c r="B680" s="11">
        <v>24</v>
      </c>
      <c r="C680" s="11" t="s">
        <v>136</v>
      </c>
      <c r="D680" s="11" t="s">
        <v>424</v>
      </c>
      <c r="E680" s="19">
        <v>58137.82</v>
      </c>
      <c r="F680" t="s">
        <v>133</v>
      </c>
    </row>
    <row r="681" spans="1:6" x14ac:dyDescent="0.25">
      <c r="A681" s="11" t="s">
        <v>265</v>
      </c>
      <c r="B681" s="11">
        <v>24</v>
      </c>
      <c r="C681" s="11" t="s">
        <v>136</v>
      </c>
      <c r="D681" s="11" t="s">
        <v>426</v>
      </c>
      <c r="E681" s="19">
        <v>-1200000</v>
      </c>
      <c r="F681" t="s">
        <v>133</v>
      </c>
    </row>
    <row r="682" spans="1:6" x14ac:dyDescent="0.25">
      <c r="A682" s="11" t="s">
        <v>265</v>
      </c>
      <c r="B682" s="11">
        <v>24</v>
      </c>
      <c r="C682" s="11" t="s">
        <v>136</v>
      </c>
      <c r="D682" s="11" t="s">
        <v>421</v>
      </c>
      <c r="E682" s="19">
        <v>1700000</v>
      </c>
      <c r="F682" t="s">
        <v>133</v>
      </c>
    </row>
    <row r="683" spans="1:6" x14ac:dyDescent="0.25">
      <c r="A683" s="11" t="s">
        <v>265</v>
      </c>
      <c r="B683" s="11">
        <v>24</v>
      </c>
      <c r="C683" s="11" t="s">
        <v>137</v>
      </c>
      <c r="D683" s="11" t="s">
        <v>197</v>
      </c>
      <c r="E683" s="19">
        <v>-150000</v>
      </c>
      <c r="F683" t="s">
        <v>133</v>
      </c>
    </row>
    <row r="684" spans="1:6" x14ac:dyDescent="0.25">
      <c r="A684" s="11" t="s">
        <v>265</v>
      </c>
      <c r="B684" s="11">
        <v>24</v>
      </c>
      <c r="C684" s="11" t="s">
        <v>137</v>
      </c>
      <c r="D684" s="11" t="s">
        <v>216</v>
      </c>
      <c r="E684" s="19">
        <v>-16020</v>
      </c>
      <c r="F684" t="s">
        <v>133</v>
      </c>
    </row>
    <row r="685" spans="1:6" x14ac:dyDescent="0.25">
      <c r="A685" s="11" t="s">
        <v>265</v>
      </c>
      <c r="B685" s="11">
        <v>24</v>
      </c>
      <c r="C685" s="11" t="s">
        <v>137</v>
      </c>
      <c r="D685" s="11" t="s">
        <v>424</v>
      </c>
      <c r="E685" s="19">
        <v>69765.39</v>
      </c>
      <c r="F685" t="s">
        <v>133</v>
      </c>
    </row>
    <row r="686" spans="1:6" x14ac:dyDescent="0.25">
      <c r="A686" s="11" t="s">
        <v>265</v>
      </c>
      <c r="B686" s="11">
        <v>24</v>
      </c>
      <c r="C686" s="11" t="s">
        <v>137</v>
      </c>
      <c r="D686" s="11" t="s">
        <v>426</v>
      </c>
      <c r="E686" s="19">
        <v>-1440000</v>
      </c>
      <c r="F686" t="s">
        <v>133</v>
      </c>
    </row>
    <row r="687" spans="1:6" x14ac:dyDescent="0.25">
      <c r="A687" s="11" t="s">
        <v>265</v>
      </c>
      <c r="B687" s="11">
        <v>24</v>
      </c>
      <c r="C687" s="11" t="s">
        <v>137</v>
      </c>
      <c r="D687" s="11" t="s">
        <v>421</v>
      </c>
      <c r="E687" s="19">
        <v>2040000</v>
      </c>
      <c r="F687" t="s">
        <v>133</v>
      </c>
    </row>
    <row r="688" spans="1:6" x14ac:dyDescent="0.25">
      <c r="A688" s="11" t="s">
        <v>265</v>
      </c>
      <c r="B688" s="11">
        <v>24</v>
      </c>
      <c r="C688" s="11" t="s">
        <v>139</v>
      </c>
      <c r="D688" s="11" t="s">
        <v>197</v>
      </c>
      <c r="E688" s="19">
        <v>-200000</v>
      </c>
      <c r="F688" t="s">
        <v>133</v>
      </c>
    </row>
    <row r="689" spans="1:6" x14ac:dyDescent="0.25">
      <c r="A689" s="11" t="s">
        <v>265</v>
      </c>
      <c r="B689" s="11">
        <v>24</v>
      </c>
      <c r="C689" s="11" t="s">
        <v>139</v>
      </c>
      <c r="D689" s="11" t="s">
        <v>216</v>
      </c>
      <c r="E689" s="19">
        <v>-21360</v>
      </c>
      <c r="F689" t="s">
        <v>133</v>
      </c>
    </row>
    <row r="690" spans="1:6" x14ac:dyDescent="0.25">
      <c r="A690" s="11" t="s">
        <v>265</v>
      </c>
      <c r="B690" s="11">
        <v>24</v>
      </c>
      <c r="C690" s="11" t="s">
        <v>139</v>
      </c>
      <c r="D690" s="11" t="s">
        <v>424</v>
      </c>
      <c r="E690" s="19">
        <v>93020.52</v>
      </c>
      <c r="F690" t="s">
        <v>133</v>
      </c>
    </row>
    <row r="691" spans="1:6" x14ac:dyDescent="0.25">
      <c r="A691" s="11" t="s">
        <v>265</v>
      </c>
      <c r="B691" s="11">
        <v>24</v>
      </c>
      <c r="C691" s="11" t="s">
        <v>139</v>
      </c>
      <c r="D691" s="11" t="s">
        <v>426</v>
      </c>
      <c r="E691" s="19">
        <v>-1920000</v>
      </c>
      <c r="F691" t="s">
        <v>133</v>
      </c>
    </row>
    <row r="692" spans="1:6" x14ac:dyDescent="0.25">
      <c r="A692" s="11" t="s">
        <v>265</v>
      </c>
      <c r="B692" s="11">
        <v>24</v>
      </c>
      <c r="C692" s="11" t="s">
        <v>139</v>
      </c>
      <c r="D692" s="11" t="s">
        <v>421</v>
      </c>
      <c r="E692" s="19">
        <v>2720000</v>
      </c>
      <c r="F692" t="s">
        <v>133</v>
      </c>
    </row>
    <row r="693" spans="1:6" x14ac:dyDescent="0.25">
      <c r="A693" s="11" t="s">
        <v>265</v>
      </c>
      <c r="B693" s="11">
        <v>24</v>
      </c>
      <c r="C693" s="11" t="s">
        <v>72</v>
      </c>
      <c r="D693" s="11" t="s">
        <v>117</v>
      </c>
      <c r="E693" s="19">
        <v>-21786.14</v>
      </c>
      <c r="F693" t="s">
        <v>131</v>
      </c>
    </row>
    <row r="694" spans="1:6" x14ac:dyDescent="0.25">
      <c r="A694" s="11" t="s">
        <v>265</v>
      </c>
      <c r="B694" s="11">
        <v>24</v>
      </c>
      <c r="C694" s="11" t="s">
        <v>132</v>
      </c>
      <c r="D694" s="11" t="s">
        <v>117</v>
      </c>
      <c r="E694" s="19">
        <v>-251777.42</v>
      </c>
      <c r="F694" t="s">
        <v>133</v>
      </c>
    </row>
    <row r="695" spans="1:6" x14ac:dyDescent="0.25">
      <c r="A695" s="11" t="s">
        <v>265</v>
      </c>
      <c r="B695" s="11">
        <v>24</v>
      </c>
      <c r="C695" s="11" t="s">
        <v>134</v>
      </c>
      <c r="D695" s="11" t="s">
        <v>117</v>
      </c>
      <c r="E695" s="19">
        <v>-134281.29999999999</v>
      </c>
      <c r="F695" t="s">
        <v>133</v>
      </c>
    </row>
    <row r="696" spans="1:6" x14ac:dyDescent="0.25">
      <c r="A696" s="11" t="s">
        <v>265</v>
      </c>
      <c r="B696" s="11">
        <v>24</v>
      </c>
      <c r="C696" s="11" t="s">
        <v>135</v>
      </c>
      <c r="D696" s="11" t="s">
        <v>117</v>
      </c>
      <c r="E696" s="19">
        <v>-117576.51</v>
      </c>
      <c r="F696" t="s">
        <v>133</v>
      </c>
    </row>
    <row r="697" spans="1:6" x14ac:dyDescent="0.25">
      <c r="A697" s="11" t="s">
        <v>265</v>
      </c>
      <c r="B697" s="11">
        <v>24</v>
      </c>
      <c r="C697" s="11" t="s">
        <v>136</v>
      </c>
      <c r="D697" s="11" t="s">
        <v>117</v>
      </c>
      <c r="E697" s="19">
        <v>-83983.22</v>
      </c>
      <c r="F697" t="s">
        <v>133</v>
      </c>
    </row>
    <row r="698" spans="1:6" x14ac:dyDescent="0.25">
      <c r="A698" s="11" t="s">
        <v>265</v>
      </c>
      <c r="B698" s="11">
        <v>24</v>
      </c>
      <c r="C698" s="11" t="s">
        <v>137</v>
      </c>
      <c r="D698" s="11" t="s">
        <v>117</v>
      </c>
      <c r="E698" s="19">
        <v>-100787.6</v>
      </c>
      <c r="F698" t="s">
        <v>133</v>
      </c>
    </row>
    <row r="699" spans="1:6" x14ac:dyDescent="0.25">
      <c r="A699" s="11" t="s">
        <v>265</v>
      </c>
      <c r="B699" s="11">
        <v>24</v>
      </c>
      <c r="C699" s="11" t="s">
        <v>139</v>
      </c>
      <c r="D699" s="11" t="s">
        <v>117</v>
      </c>
      <c r="E699" s="19">
        <v>-134383.45000000001</v>
      </c>
      <c r="F699" t="s">
        <v>133</v>
      </c>
    </row>
    <row r="700" spans="1:6" x14ac:dyDescent="0.25">
      <c r="A700" s="11" t="s">
        <v>265</v>
      </c>
      <c r="B700" s="11">
        <v>24</v>
      </c>
      <c r="C700" s="11" t="s">
        <v>422</v>
      </c>
      <c r="D700" s="11" t="s">
        <v>117</v>
      </c>
      <c r="E700" s="19">
        <v>844575.64</v>
      </c>
      <c r="F700" t="s">
        <v>423</v>
      </c>
    </row>
    <row r="701" spans="1:6" x14ac:dyDescent="0.25">
      <c r="A701" s="11" t="s">
        <v>266</v>
      </c>
      <c r="B701" s="11">
        <v>25</v>
      </c>
      <c r="C701" s="11" t="s">
        <v>72</v>
      </c>
      <c r="D701" s="11" t="s">
        <v>334</v>
      </c>
      <c r="E701" s="19">
        <v>26000</v>
      </c>
      <c r="F701" t="s">
        <v>131</v>
      </c>
    </row>
    <row r="702" spans="1:6" x14ac:dyDescent="0.25">
      <c r="A702" s="11" t="s">
        <v>266</v>
      </c>
      <c r="B702" s="11">
        <v>25</v>
      </c>
      <c r="C702" s="11" t="s">
        <v>72</v>
      </c>
      <c r="D702" s="11" t="s">
        <v>425</v>
      </c>
      <c r="E702" s="19">
        <v>564524.12</v>
      </c>
      <c r="F702" t="s">
        <v>131</v>
      </c>
    </row>
    <row r="703" spans="1:6" x14ac:dyDescent="0.25">
      <c r="A703" s="11" t="s">
        <v>266</v>
      </c>
      <c r="B703" s="11">
        <v>25</v>
      </c>
      <c r="C703" s="11" t="s">
        <v>72</v>
      </c>
      <c r="D703" s="11" t="s">
        <v>216</v>
      </c>
      <c r="E703" s="19">
        <v>-2670</v>
      </c>
      <c r="F703" t="s">
        <v>131</v>
      </c>
    </row>
    <row r="704" spans="1:6" x14ac:dyDescent="0.25">
      <c r="A704" s="11" t="s">
        <v>266</v>
      </c>
      <c r="B704" s="11">
        <v>25</v>
      </c>
      <c r="C704" s="11" t="s">
        <v>72</v>
      </c>
      <c r="D704" s="11" t="s">
        <v>424</v>
      </c>
      <c r="E704" s="19">
        <v>11976.39</v>
      </c>
      <c r="F704" t="s">
        <v>131</v>
      </c>
    </row>
    <row r="705" spans="1:6" x14ac:dyDescent="0.25">
      <c r="A705" s="11" t="s">
        <v>266</v>
      </c>
      <c r="B705" s="11">
        <v>25</v>
      </c>
      <c r="C705" s="11" t="s">
        <v>72</v>
      </c>
      <c r="D705" s="11" t="s">
        <v>426</v>
      </c>
      <c r="E705" s="19">
        <v>336000</v>
      </c>
      <c r="F705" t="s">
        <v>131</v>
      </c>
    </row>
    <row r="706" spans="1:6" x14ac:dyDescent="0.25">
      <c r="A706" s="11" t="s">
        <v>266</v>
      </c>
      <c r="B706" s="11">
        <v>25</v>
      </c>
      <c r="C706" s="11" t="s">
        <v>72</v>
      </c>
      <c r="D706" s="11" t="s">
        <v>421</v>
      </c>
      <c r="E706" s="19">
        <v>-336000</v>
      </c>
      <c r="F706" t="s">
        <v>131</v>
      </c>
    </row>
    <row r="707" spans="1:6" x14ac:dyDescent="0.25">
      <c r="A707" s="11" t="s">
        <v>266</v>
      </c>
      <c r="B707" s="11">
        <v>25</v>
      </c>
      <c r="C707" s="11" t="s">
        <v>132</v>
      </c>
      <c r="D707" s="11" t="s">
        <v>334</v>
      </c>
      <c r="E707" s="19">
        <v>390000</v>
      </c>
      <c r="F707" t="s">
        <v>133</v>
      </c>
    </row>
    <row r="708" spans="1:6" x14ac:dyDescent="0.25">
      <c r="A708" s="11" t="s">
        <v>266</v>
      </c>
      <c r="B708" s="11">
        <v>25</v>
      </c>
      <c r="C708" s="11" t="s">
        <v>132</v>
      </c>
      <c r="D708" s="11" t="s">
        <v>425</v>
      </c>
      <c r="E708" s="19">
        <v>7668903.96</v>
      </c>
      <c r="F708" t="s">
        <v>133</v>
      </c>
    </row>
    <row r="709" spans="1:6" x14ac:dyDescent="0.25">
      <c r="A709" s="11" t="s">
        <v>266</v>
      </c>
      <c r="B709" s="11">
        <v>25</v>
      </c>
      <c r="C709" s="11" t="s">
        <v>132</v>
      </c>
      <c r="D709" s="11" t="s">
        <v>197</v>
      </c>
      <c r="E709" s="19">
        <v>-375000</v>
      </c>
      <c r="F709" t="s">
        <v>133</v>
      </c>
    </row>
    <row r="710" spans="1:6" x14ac:dyDescent="0.25">
      <c r="A710" s="11" t="s">
        <v>266</v>
      </c>
      <c r="B710" s="11">
        <v>25</v>
      </c>
      <c r="C710" s="11" t="s">
        <v>132</v>
      </c>
      <c r="D710" s="11" t="s">
        <v>216</v>
      </c>
      <c r="E710" s="19">
        <v>-40050</v>
      </c>
      <c r="F710" t="s">
        <v>133</v>
      </c>
    </row>
    <row r="711" spans="1:6" x14ac:dyDescent="0.25">
      <c r="A711" s="11" t="s">
        <v>266</v>
      </c>
      <c r="B711" s="11">
        <v>25</v>
      </c>
      <c r="C711" s="11" t="s">
        <v>132</v>
      </c>
      <c r="D711" s="11" t="s">
        <v>424</v>
      </c>
      <c r="E711" s="19">
        <v>179645.87</v>
      </c>
      <c r="F711" t="s">
        <v>133</v>
      </c>
    </row>
    <row r="712" spans="1:6" x14ac:dyDescent="0.25">
      <c r="A712" s="11" t="s">
        <v>266</v>
      </c>
      <c r="B712" s="11">
        <v>25</v>
      </c>
      <c r="C712" s="11" t="s">
        <v>132</v>
      </c>
      <c r="D712" s="11" t="s">
        <v>426</v>
      </c>
      <c r="E712" s="19">
        <v>5040000</v>
      </c>
      <c r="F712" t="s">
        <v>133</v>
      </c>
    </row>
    <row r="713" spans="1:6" x14ac:dyDescent="0.25">
      <c r="A713" s="11" t="s">
        <v>266</v>
      </c>
      <c r="B713" s="11">
        <v>25</v>
      </c>
      <c r="C713" s="11" t="s">
        <v>132</v>
      </c>
      <c r="D713" s="11" t="s">
        <v>421</v>
      </c>
      <c r="E713" s="19">
        <v>-5040000</v>
      </c>
      <c r="F713" t="s">
        <v>133</v>
      </c>
    </row>
    <row r="714" spans="1:6" x14ac:dyDescent="0.25">
      <c r="A714" s="11" t="s">
        <v>266</v>
      </c>
      <c r="B714" s="11">
        <v>25</v>
      </c>
      <c r="C714" s="11" t="s">
        <v>134</v>
      </c>
      <c r="D714" s="11" t="s">
        <v>334</v>
      </c>
      <c r="E714" s="19">
        <v>208000</v>
      </c>
      <c r="F714" t="s">
        <v>133</v>
      </c>
    </row>
    <row r="715" spans="1:6" x14ac:dyDescent="0.25">
      <c r="A715" s="11" t="s">
        <v>266</v>
      </c>
      <c r="B715" s="11">
        <v>25</v>
      </c>
      <c r="C715" s="11" t="s">
        <v>134</v>
      </c>
      <c r="D715" s="11" t="s">
        <v>425</v>
      </c>
      <c r="E715" s="19">
        <v>4090082.11</v>
      </c>
      <c r="F715" t="s">
        <v>133</v>
      </c>
    </row>
    <row r="716" spans="1:6" x14ac:dyDescent="0.25">
      <c r="A716" s="11" t="s">
        <v>266</v>
      </c>
      <c r="B716" s="11">
        <v>25</v>
      </c>
      <c r="C716" s="11" t="s">
        <v>134</v>
      </c>
      <c r="D716" s="11" t="s">
        <v>197</v>
      </c>
      <c r="E716" s="19">
        <v>-200000</v>
      </c>
      <c r="F716" t="s">
        <v>133</v>
      </c>
    </row>
    <row r="717" spans="1:6" x14ac:dyDescent="0.25">
      <c r="A717" s="11" t="s">
        <v>266</v>
      </c>
      <c r="B717" s="11">
        <v>25</v>
      </c>
      <c r="C717" s="11" t="s">
        <v>134</v>
      </c>
      <c r="D717" s="11" t="s">
        <v>216</v>
      </c>
      <c r="E717" s="19">
        <v>-21360</v>
      </c>
      <c r="F717" t="s">
        <v>133</v>
      </c>
    </row>
    <row r="718" spans="1:6" x14ac:dyDescent="0.25">
      <c r="A718" s="11" t="s">
        <v>266</v>
      </c>
      <c r="B718" s="11">
        <v>25</v>
      </c>
      <c r="C718" s="11" t="s">
        <v>134</v>
      </c>
      <c r="D718" s="11" t="s">
        <v>424</v>
      </c>
      <c r="E718" s="19">
        <v>95811.13</v>
      </c>
      <c r="F718" t="s">
        <v>133</v>
      </c>
    </row>
    <row r="719" spans="1:6" x14ac:dyDescent="0.25">
      <c r="A719" s="11" t="s">
        <v>266</v>
      </c>
      <c r="B719" s="11">
        <v>25</v>
      </c>
      <c r="C719" s="11" t="s">
        <v>134</v>
      </c>
      <c r="D719" s="11" t="s">
        <v>426</v>
      </c>
      <c r="E719" s="19">
        <v>2688000</v>
      </c>
      <c r="F719" t="s">
        <v>133</v>
      </c>
    </row>
    <row r="720" spans="1:6" x14ac:dyDescent="0.25">
      <c r="A720" s="11" t="s">
        <v>266</v>
      </c>
      <c r="B720" s="11">
        <v>25</v>
      </c>
      <c r="C720" s="11" t="s">
        <v>134</v>
      </c>
      <c r="D720" s="11" t="s">
        <v>421</v>
      </c>
      <c r="E720" s="19">
        <v>-2688000</v>
      </c>
      <c r="F720" t="s">
        <v>133</v>
      </c>
    </row>
    <row r="721" spans="1:6" x14ac:dyDescent="0.25">
      <c r="A721" s="11" t="s">
        <v>266</v>
      </c>
      <c r="B721" s="11">
        <v>25</v>
      </c>
      <c r="C721" s="11" t="s">
        <v>135</v>
      </c>
      <c r="D721" s="11" t="s">
        <v>334</v>
      </c>
      <c r="E721" s="19">
        <v>182000</v>
      </c>
      <c r="F721" t="s">
        <v>133</v>
      </c>
    </row>
    <row r="722" spans="1:6" x14ac:dyDescent="0.25">
      <c r="A722" s="11" t="s">
        <v>266</v>
      </c>
      <c r="B722" s="11">
        <v>25</v>
      </c>
      <c r="C722" s="11" t="s">
        <v>135</v>
      </c>
      <c r="D722" s="11" t="s">
        <v>425</v>
      </c>
      <c r="E722" s="19">
        <v>3677427.18</v>
      </c>
      <c r="F722" t="s">
        <v>133</v>
      </c>
    </row>
    <row r="723" spans="1:6" x14ac:dyDescent="0.25">
      <c r="A723" s="11" t="s">
        <v>266</v>
      </c>
      <c r="B723" s="11">
        <v>25</v>
      </c>
      <c r="C723" s="11" t="s">
        <v>135</v>
      </c>
      <c r="D723" s="11" t="s">
        <v>197</v>
      </c>
      <c r="E723" s="19">
        <v>-175000</v>
      </c>
      <c r="F723" t="s">
        <v>133</v>
      </c>
    </row>
    <row r="724" spans="1:6" x14ac:dyDescent="0.25">
      <c r="A724" s="11" t="s">
        <v>266</v>
      </c>
      <c r="B724" s="11">
        <v>25</v>
      </c>
      <c r="C724" s="11" t="s">
        <v>135</v>
      </c>
      <c r="D724" s="11" t="s">
        <v>216</v>
      </c>
      <c r="E724" s="19">
        <v>-18690</v>
      </c>
      <c r="F724" t="s">
        <v>133</v>
      </c>
    </row>
    <row r="725" spans="1:6" x14ac:dyDescent="0.25">
      <c r="A725" s="11" t="s">
        <v>266</v>
      </c>
      <c r="B725" s="11">
        <v>25</v>
      </c>
      <c r="C725" s="11" t="s">
        <v>135</v>
      </c>
      <c r="D725" s="11" t="s">
        <v>424</v>
      </c>
      <c r="E725" s="19">
        <v>83834.740000000005</v>
      </c>
      <c r="F725" t="s">
        <v>133</v>
      </c>
    </row>
    <row r="726" spans="1:6" x14ac:dyDescent="0.25">
      <c r="A726" s="11" t="s">
        <v>266</v>
      </c>
      <c r="B726" s="11">
        <v>25</v>
      </c>
      <c r="C726" s="11" t="s">
        <v>135</v>
      </c>
      <c r="D726" s="11" t="s">
        <v>426</v>
      </c>
      <c r="E726" s="19">
        <v>2352000</v>
      </c>
      <c r="F726" t="s">
        <v>133</v>
      </c>
    </row>
    <row r="727" spans="1:6" x14ac:dyDescent="0.25">
      <c r="A727" s="11" t="s">
        <v>266</v>
      </c>
      <c r="B727" s="11">
        <v>25</v>
      </c>
      <c r="C727" s="11" t="s">
        <v>135</v>
      </c>
      <c r="D727" s="11" t="s">
        <v>421</v>
      </c>
      <c r="E727" s="19">
        <v>-2352000</v>
      </c>
      <c r="F727" t="s">
        <v>133</v>
      </c>
    </row>
    <row r="728" spans="1:6" x14ac:dyDescent="0.25">
      <c r="A728" s="11" t="s">
        <v>266</v>
      </c>
      <c r="B728" s="11">
        <v>25</v>
      </c>
      <c r="C728" s="11" t="s">
        <v>136</v>
      </c>
      <c r="D728" s="11" t="s">
        <v>334</v>
      </c>
      <c r="E728" s="19">
        <v>130000</v>
      </c>
      <c r="F728" t="s">
        <v>133</v>
      </c>
    </row>
    <row r="729" spans="1:6" x14ac:dyDescent="0.25">
      <c r="A729" s="11" t="s">
        <v>266</v>
      </c>
      <c r="B729" s="11">
        <v>25</v>
      </c>
      <c r="C729" s="11" t="s">
        <v>136</v>
      </c>
      <c r="D729" s="11" t="s">
        <v>425</v>
      </c>
      <c r="E729" s="19">
        <v>2626733.7000000002</v>
      </c>
      <c r="F729" t="s">
        <v>133</v>
      </c>
    </row>
    <row r="730" spans="1:6" x14ac:dyDescent="0.25">
      <c r="A730" s="11" t="s">
        <v>266</v>
      </c>
      <c r="B730" s="11">
        <v>25</v>
      </c>
      <c r="C730" s="11" t="s">
        <v>136</v>
      </c>
      <c r="D730" s="11" t="s">
        <v>197</v>
      </c>
      <c r="E730" s="19">
        <v>-125000</v>
      </c>
      <c r="F730" t="s">
        <v>133</v>
      </c>
    </row>
    <row r="731" spans="1:6" x14ac:dyDescent="0.25">
      <c r="A731" s="11" t="s">
        <v>266</v>
      </c>
      <c r="B731" s="11">
        <v>25</v>
      </c>
      <c r="C731" s="11" t="s">
        <v>136</v>
      </c>
      <c r="D731" s="11" t="s">
        <v>216</v>
      </c>
      <c r="E731" s="19">
        <v>-13350</v>
      </c>
      <c r="F731" t="s">
        <v>133</v>
      </c>
    </row>
    <row r="732" spans="1:6" x14ac:dyDescent="0.25">
      <c r="A732" s="11" t="s">
        <v>266</v>
      </c>
      <c r="B732" s="11">
        <v>25</v>
      </c>
      <c r="C732" s="11" t="s">
        <v>136</v>
      </c>
      <c r="D732" s="11" t="s">
        <v>424</v>
      </c>
      <c r="E732" s="19">
        <v>59881.96</v>
      </c>
      <c r="F732" t="s">
        <v>133</v>
      </c>
    </row>
    <row r="733" spans="1:6" x14ac:dyDescent="0.25">
      <c r="A733" s="11" t="s">
        <v>266</v>
      </c>
      <c r="B733" s="11">
        <v>25</v>
      </c>
      <c r="C733" s="11" t="s">
        <v>136</v>
      </c>
      <c r="D733" s="11" t="s">
        <v>426</v>
      </c>
      <c r="E733" s="19">
        <v>1680000</v>
      </c>
      <c r="F733" t="s">
        <v>133</v>
      </c>
    </row>
    <row r="734" spans="1:6" x14ac:dyDescent="0.25">
      <c r="A734" s="11" t="s">
        <v>266</v>
      </c>
      <c r="B734" s="11">
        <v>25</v>
      </c>
      <c r="C734" s="11" t="s">
        <v>136</v>
      </c>
      <c r="D734" s="11" t="s">
        <v>421</v>
      </c>
      <c r="E734" s="19">
        <v>-1680000</v>
      </c>
      <c r="F734" t="s">
        <v>133</v>
      </c>
    </row>
    <row r="735" spans="1:6" x14ac:dyDescent="0.25">
      <c r="A735" s="11" t="s">
        <v>266</v>
      </c>
      <c r="B735" s="11">
        <v>25</v>
      </c>
      <c r="C735" s="11" t="s">
        <v>137</v>
      </c>
      <c r="D735" s="11" t="s">
        <v>334</v>
      </c>
      <c r="E735" s="19">
        <v>156000</v>
      </c>
      <c r="F735" t="s">
        <v>133</v>
      </c>
    </row>
    <row r="736" spans="1:6" x14ac:dyDescent="0.25">
      <c r="A736" s="11" t="s">
        <v>266</v>
      </c>
      <c r="B736" s="11">
        <v>25</v>
      </c>
      <c r="C736" s="11" t="s">
        <v>137</v>
      </c>
      <c r="D736" s="11" t="s">
        <v>425</v>
      </c>
      <c r="E736" s="19">
        <v>3159569.54</v>
      </c>
      <c r="F736" t="s">
        <v>133</v>
      </c>
    </row>
    <row r="737" spans="1:6" x14ac:dyDescent="0.25">
      <c r="A737" s="11" t="s">
        <v>266</v>
      </c>
      <c r="B737" s="11">
        <v>25</v>
      </c>
      <c r="C737" s="11" t="s">
        <v>137</v>
      </c>
      <c r="D737" s="11" t="s">
        <v>197</v>
      </c>
      <c r="E737" s="19">
        <v>-150000</v>
      </c>
      <c r="F737" t="s">
        <v>133</v>
      </c>
    </row>
    <row r="738" spans="1:6" x14ac:dyDescent="0.25">
      <c r="A738" s="11" t="s">
        <v>266</v>
      </c>
      <c r="B738" s="11">
        <v>25</v>
      </c>
      <c r="C738" s="11" t="s">
        <v>137</v>
      </c>
      <c r="D738" s="11" t="s">
        <v>216</v>
      </c>
      <c r="E738" s="19">
        <v>-16020</v>
      </c>
      <c r="F738" t="s">
        <v>133</v>
      </c>
    </row>
    <row r="739" spans="1:6" x14ac:dyDescent="0.25">
      <c r="A739" s="11" t="s">
        <v>266</v>
      </c>
      <c r="B739" s="11">
        <v>25</v>
      </c>
      <c r="C739" s="11" t="s">
        <v>137</v>
      </c>
      <c r="D739" s="11" t="s">
        <v>424</v>
      </c>
      <c r="E739" s="19">
        <v>71858.350000000006</v>
      </c>
      <c r="F739" t="s">
        <v>133</v>
      </c>
    </row>
    <row r="740" spans="1:6" x14ac:dyDescent="0.25">
      <c r="A740" s="11" t="s">
        <v>266</v>
      </c>
      <c r="B740" s="11">
        <v>25</v>
      </c>
      <c r="C740" s="11" t="s">
        <v>137</v>
      </c>
      <c r="D740" s="11" t="s">
        <v>426</v>
      </c>
      <c r="E740" s="19">
        <v>2016000</v>
      </c>
      <c r="F740" t="s">
        <v>133</v>
      </c>
    </row>
    <row r="741" spans="1:6" x14ac:dyDescent="0.25">
      <c r="A741" s="11" t="s">
        <v>266</v>
      </c>
      <c r="B741" s="11">
        <v>25</v>
      </c>
      <c r="C741" s="11" t="s">
        <v>137</v>
      </c>
      <c r="D741" s="11" t="s">
        <v>421</v>
      </c>
      <c r="E741" s="19">
        <v>-2016000</v>
      </c>
      <c r="F741" t="s">
        <v>133</v>
      </c>
    </row>
    <row r="742" spans="1:6" x14ac:dyDescent="0.25">
      <c r="A742" s="11" t="s">
        <v>266</v>
      </c>
      <c r="B742" s="11">
        <v>25</v>
      </c>
      <c r="C742" s="11" t="s">
        <v>139</v>
      </c>
      <c r="D742" s="11" t="s">
        <v>334</v>
      </c>
      <c r="E742" s="19">
        <v>208000</v>
      </c>
      <c r="F742" t="s">
        <v>133</v>
      </c>
    </row>
    <row r="743" spans="1:6" x14ac:dyDescent="0.25">
      <c r="A743" s="11" t="s">
        <v>266</v>
      </c>
      <c r="B743" s="11">
        <v>25</v>
      </c>
      <c r="C743" s="11" t="s">
        <v>139</v>
      </c>
      <c r="D743" s="11" t="s">
        <v>425</v>
      </c>
      <c r="E743" s="19">
        <v>4212759.3899999997</v>
      </c>
      <c r="F743" t="s">
        <v>133</v>
      </c>
    </row>
    <row r="744" spans="1:6" x14ac:dyDescent="0.25">
      <c r="A744" s="11" t="s">
        <v>266</v>
      </c>
      <c r="B744" s="11">
        <v>25</v>
      </c>
      <c r="C744" s="11" t="s">
        <v>139</v>
      </c>
      <c r="D744" s="11" t="s">
        <v>197</v>
      </c>
      <c r="E744" s="19">
        <v>-200000</v>
      </c>
      <c r="F744" t="s">
        <v>133</v>
      </c>
    </row>
    <row r="745" spans="1:6" x14ac:dyDescent="0.25">
      <c r="A745" s="11" t="s">
        <v>266</v>
      </c>
      <c r="B745" s="11">
        <v>25</v>
      </c>
      <c r="C745" s="11" t="s">
        <v>139</v>
      </c>
      <c r="D745" s="11" t="s">
        <v>216</v>
      </c>
      <c r="E745" s="19">
        <v>-21360</v>
      </c>
      <c r="F745" t="s">
        <v>133</v>
      </c>
    </row>
    <row r="746" spans="1:6" x14ac:dyDescent="0.25">
      <c r="A746" s="11" t="s">
        <v>266</v>
      </c>
      <c r="B746" s="11">
        <v>25</v>
      </c>
      <c r="C746" s="11" t="s">
        <v>139</v>
      </c>
      <c r="D746" s="11" t="s">
        <v>424</v>
      </c>
      <c r="E746" s="19">
        <v>95811.13</v>
      </c>
      <c r="F746" t="s">
        <v>133</v>
      </c>
    </row>
    <row r="747" spans="1:6" x14ac:dyDescent="0.25">
      <c r="A747" s="11" t="s">
        <v>266</v>
      </c>
      <c r="B747" s="11">
        <v>25</v>
      </c>
      <c r="C747" s="11" t="s">
        <v>139</v>
      </c>
      <c r="D747" s="11" t="s">
        <v>426</v>
      </c>
      <c r="E747" s="19">
        <v>2688000</v>
      </c>
      <c r="F747" t="s">
        <v>133</v>
      </c>
    </row>
    <row r="748" spans="1:6" x14ac:dyDescent="0.25">
      <c r="A748" s="11" t="s">
        <v>266</v>
      </c>
      <c r="B748" s="11">
        <v>25</v>
      </c>
      <c r="C748" s="11" t="s">
        <v>139</v>
      </c>
      <c r="D748" s="11" t="s">
        <v>421</v>
      </c>
      <c r="E748" s="19">
        <v>-2688000</v>
      </c>
      <c r="F748" t="s">
        <v>133</v>
      </c>
    </row>
    <row r="749" spans="1:6" x14ac:dyDescent="0.25">
      <c r="A749" s="11" t="s">
        <v>266</v>
      </c>
      <c r="B749" s="11">
        <v>25</v>
      </c>
      <c r="C749" s="11" t="s">
        <v>72</v>
      </c>
      <c r="D749" s="11" t="s">
        <v>117</v>
      </c>
      <c r="E749" s="19">
        <v>-1809.09</v>
      </c>
      <c r="F749" t="s">
        <v>131</v>
      </c>
    </row>
    <row r="750" spans="1:6" x14ac:dyDescent="0.25">
      <c r="A750" s="11" t="s">
        <v>266</v>
      </c>
      <c r="B750" s="11">
        <v>25</v>
      </c>
      <c r="C750" s="11" t="s">
        <v>132</v>
      </c>
      <c r="D750" s="11" t="s">
        <v>117</v>
      </c>
      <c r="E750" s="19">
        <v>47048.03</v>
      </c>
      <c r="F750" t="s">
        <v>133</v>
      </c>
    </row>
    <row r="751" spans="1:6" x14ac:dyDescent="0.25">
      <c r="A751" s="11" t="s">
        <v>266</v>
      </c>
      <c r="B751" s="11">
        <v>25</v>
      </c>
      <c r="C751" s="11" t="s">
        <v>134</v>
      </c>
      <c r="D751" s="11" t="s">
        <v>117</v>
      </c>
      <c r="E751" s="19">
        <v>25092.29</v>
      </c>
      <c r="F751" t="s">
        <v>133</v>
      </c>
    </row>
    <row r="752" spans="1:6" x14ac:dyDescent="0.25">
      <c r="A752" s="11" t="s">
        <v>266</v>
      </c>
      <c r="B752" s="11">
        <v>25</v>
      </c>
      <c r="C752" s="11" t="s">
        <v>135</v>
      </c>
      <c r="D752" s="11" t="s">
        <v>117</v>
      </c>
      <c r="E752" s="19">
        <v>21969.69</v>
      </c>
      <c r="F752" t="s">
        <v>133</v>
      </c>
    </row>
    <row r="753" spans="1:6" x14ac:dyDescent="0.25">
      <c r="A753" s="11" t="s">
        <v>266</v>
      </c>
      <c r="B753" s="11">
        <v>25</v>
      </c>
      <c r="C753" s="11" t="s">
        <v>136</v>
      </c>
      <c r="D753" s="11" t="s">
        <v>117</v>
      </c>
      <c r="E753" s="19">
        <v>15692.64</v>
      </c>
      <c r="F753" t="s">
        <v>133</v>
      </c>
    </row>
    <row r="754" spans="1:6" x14ac:dyDescent="0.25">
      <c r="A754" s="11" t="s">
        <v>266</v>
      </c>
      <c r="B754" s="11">
        <v>25</v>
      </c>
      <c r="C754" s="11" t="s">
        <v>137</v>
      </c>
      <c r="D754" s="11" t="s">
        <v>117</v>
      </c>
      <c r="E754" s="19">
        <v>18832.509999999998</v>
      </c>
      <c r="F754" t="s">
        <v>133</v>
      </c>
    </row>
    <row r="755" spans="1:6" x14ac:dyDescent="0.25">
      <c r="A755" s="11" t="s">
        <v>266</v>
      </c>
      <c r="B755" s="11">
        <v>25</v>
      </c>
      <c r="C755" s="11" t="s">
        <v>139</v>
      </c>
      <c r="D755" s="11" t="s">
        <v>117</v>
      </c>
      <c r="E755" s="19">
        <v>25110.01</v>
      </c>
      <c r="F755" t="s">
        <v>133</v>
      </c>
    </row>
    <row r="756" spans="1:6" x14ac:dyDescent="0.25">
      <c r="A756" s="11" t="s">
        <v>266</v>
      </c>
      <c r="B756" s="11">
        <v>25</v>
      </c>
      <c r="C756" s="11" t="s">
        <v>422</v>
      </c>
      <c r="D756" s="11" t="s">
        <v>117</v>
      </c>
      <c r="E756" s="19">
        <v>-151936.07999999999</v>
      </c>
      <c r="F756" t="s">
        <v>423</v>
      </c>
    </row>
    <row r="757" spans="1:6" x14ac:dyDescent="0.25">
      <c r="A757" s="11" t="s">
        <v>267</v>
      </c>
      <c r="B757" s="11">
        <v>26</v>
      </c>
      <c r="C757" s="11" t="s">
        <v>72</v>
      </c>
      <c r="D757" s="11" t="s">
        <v>216</v>
      </c>
      <c r="E757" s="19">
        <v>-2670</v>
      </c>
      <c r="F757" t="s">
        <v>131</v>
      </c>
    </row>
    <row r="758" spans="1:6" x14ac:dyDescent="0.25">
      <c r="A758" s="11" t="s">
        <v>267</v>
      </c>
      <c r="B758" s="11">
        <v>26</v>
      </c>
      <c r="C758" s="11" t="s">
        <v>72</v>
      </c>
      <c r="D758" s="11" t="s">
        <v>424</v>
      </c>
      <c r="E758" s="19">
        <v>12335.68</v>
      </c>
      <c r="F758" t="s">
        <v>131</v>
      </c>
    </row>
    <row r="759" spans="1:6" x14ac:dyDescent="0.25">
      <c r="A759" s="11" t="s">
        <v>267</v>
      </c>
      <c r="B759" s="11">
        <v>26</v>
      </c>
      <c r="C759" s="11" t="s">
        <v>132</v>
      </c>
      <c r="D759" s="11" t="s">
        <v>197</v>
      </c>
      <c r="E759" s="19">
        <v>-162244.9</v>
      </c>
      <c r="F759" t="s">
        <v>133</v>
      </c>
    </row>
    <row r="760" spans="1:6" x14ac:dyDescent="0.25">
      <c r="A760" s="11" t="s">
        <v>267</v>
      </c>
      <c r="B760" s="11">
        <v>26</v>
      </c>
      <c r="C760" s="11" t="s">
        <v>132</v>
      </c>
      <c r="D760" s="11" t="s">
        <v>216</v>
      </c>
      <c r="E760" s="19">
        <v>-40050</v>
      </c>
      <c r="F760" t="s">
        <v>133</v>
      </c>
    </row>
    <row r="761" spans="1:6" x14ac:dyDescent="0.25">
      <c r="A761" s="11" t="s">
        <v>267</v>
      </c>
      <c r="B761" s="11">
        <v>26</v>
      </c>
      <c r="C761" s="11" t="s">
        <v>132</v>
      </c>
      <c r="D761" s="11" t="s">
        <v>424</v>
      </c>
      <c r="E761" s="19">
        <v>185035.25</v>
      </c>
      <c r="F761" t="s">
        <v>133</v>
      </c>
    </row>
    <row r="762" spans="1:6" x14ac:dyDescent="0.25">
      <c r="A762" s="11" t="s">
        <v>267</v>
      </c>
      <c r="B762" s="11">
        <v>26</v>
      </c>
      <c r="C762" s="11" t="s">
        <v>134</v>
      </c>
      <c r="D762" s="11" t="s">
        <v>197</v>
      </c>
      <c r="E762" s="19">
        <v>-86530.61</v>
      </c>
      <c r="F762" t="s">
        <v>133</v>
      </c>
    </row>
    <row r="763" spans="1:6" x14ac:dyDescent="0.25">
      <c r="A763" s="11" t="s">
        <v>267</v>
      </c>
      <c r="B763" s="11">
        <v>26</v>
      </c>
      <c r="C763" s="11" t="s">
        <v>134</v>
      </c>
      <c r="D763" s="11" t="s">
        <v>216</v>
      </c>
      <c r="E763" s="19">
        <v>-21360</v>
      </c>
      <c r="F763" t="s">
        <v>133</v>
      </c>
    </row>
    <row r="764" spans="1:6" x14ac:dyDescent="0.25">
      <c r="A764" s="11" t="s">
        <v>267</v>
      </c>
      <c r="B764" s="11">
        <v>26</v>
      </c>
      <c r="C764" s="11" t="s">
        <v>134</v>
      </c>
      <c r="D764" s="11" t="s">
        <v>424</v>
      </c>
      <c r="E764" s="19">
        <v>98685.47</v>
      </c>
      <c r="F764" t="s">
        <v>133</v>
      </c>
    </row>
    <row r="765" spans="1:6" x14ac:dyDescent="0.25">
      <c r="A765" s="11" t="s">
        <v>267</v>
      </c>
      <c r="B765" s="11">
        <v>26</v>
      </c>
      <c r="C765" s="11" t="s">
        <v>135</v>
      </c>
      <c r="D765" s="11" t="s">
        <v>197</v>
      </c>
      <c r="E765" s="19">
        <v>-75714.289999999994</v>
      </c>
      <c r="F765" t="s">
        <v>133</v>
      </c>
    </row>
    <row r="766" spans="1:6" x14ac:dyDescent="0.25">
      <c r="A766" s="11" t="s">
        <v>267</v>
      </c>
      <c r="B766" s="11">
        <v>26</v>
      </c>
      <c r="C766" s="11" t="s">
        <v>135</v>
      </c>
      <c r="D766" s="11" t="s">
        <v>216</v>
      </c>
      <c r="E766" s="19">
        <v>-18690</v>
      </c>
      <c r="F766" t="s">
        <v>133</v>
      </c>
    </row>
    <row r="767" spans="1:6" x14ac:dyDescent="0.25">
      <c r="A767" s="11" t="s">
        <v>267</v>
      </c>
      <c r="B767" s="11">
        <v>26</v>
      </c>
      <c r="C767" s="11" t="s">
        <v>135</v>
      </c>
      <c r="D767" s="11" t="s">
        <v>424</v>
      </c>
      <c r="E767" s="19">
        <v>86349.78</v>
      </c>
      <c r="F767" t="s">
        <v>133</v>
      </c>
    </row>
    <row r="768" spans="1:6" x14ac:dyDescent="0.25">
      <c r="A768" s="11" t="s">
        <v>267</v>
      </c>
      <c r="B768" s="11">
        <v>26</v>
      </c>
      <c r="C768" s="11" t="s">
        <v>136</v>
      </c>
      <c r="D768" s="11" t="s">
        <v>197</v>
      </c>
      <c r="E768" s="19">
        <v>-54081.63</v>
      </c>
      <c r="F768" t="s">
        <v>133</v>
      </c>
    </row>
    <row r="769" spans="1:6" x14ac:dyDescent="0.25">
      <c r="A769" s="11" t="s">
        <v>267</v>
      </c>
      <c r="B769" s="11">
        <v>26</v>
      </c>
      <c r="C769" s="11" t="s">
        <v>136</v>
      </c>
      <c r="D769" s="11" t="s">
        <v>216</v>
      </c>
      <c r="E769" s="19">
        <v>-13350</v>
      </c>
      <c r="F769" t="s">
        <v>133</v>
      </c>
    </row>
    <row r="770" spans="1:6" x14ac:dyDescent="0.25">
      <c r="A770" s="11" t="s">
        <v>267</v>
      </c>
      <c r="B770" s="11">
        <v>26</v>
      </c>
      <c r="C770" s="11" t="s">
        <v>136</v>
      </c>
      <c r="D770" s="11" t="s">
        <v>424</v>
      </c>
      <c r="E770" s="19">
        <v>61678.42</v>
      </c>
      <c r="F770" t="s">
        <v>133</v>
      </c>
    </row>
    <row r="771" spans="1:6" x14ac:dyDescent="0.25">
      <c r="A771" s="11" t="s">
        <v>267</v>
      </c>
      <c r="B771" s="11">
        <v>26</v>
      </c>
      <c r="C771" s="11" t="s">
        <v>137</v>
      </c>
      <c r="D771" s="11" t="s">
        <v>197</v>
      </c>
      <c r="E771" s="19">
        <v>-64897.96</v>
      </c>
      <c r="F771" t="s">
        <v>133</v>
      </c>
    </row>
    <row r="772" spans="1:6" x14ac:dyDescent="0.25">
      <c r="A772" s="11" t="s">
        <v>267</v>
      </c>
      <c r="B772" s="11">
        <v>26</v>
      </c>
      <c r="C772" s="11" t="s">
        <v>137</v>
      </c>
      <c r="D772" s="11" t="s">
        <v>216</v>
      </c>
      <c r="E772" s="19">
        <v>-16020</v>
      </c>
      <c r="F772" t="s">
        <v>133</v>
      </c>
    </row>
    <row r="773" spans="1:6" x14ac:dyDescent="0.25">
      <c r="A773" s="11" t="s">
        <v>267</v>
      </c>
      <c r="B773" s="11">
        <v>26</v>
      </c>
      <c r="C773" s="11" t="s">
        <v>137</v>
      </c>
      <c r="D773" s="11" t="s">
        <v>424</v>
      </c>
      <c r="E773" s="19">
        <v>74014.100000000006</v>
      </c>
      <c r="F773" t="s">
        <v>133</v>
      </c>
    </row>
    <row r="774" spans="1:6" x14ac:dyDescent="0.25">
      <c r="A774" s="11" t="s">
        <v>267</v>
      </c>
      <c r="B774" s="11">
        <v>26</v>
      </c>
      <c r="C774" s="11" t="s">
        <v>139</v>
      </c>
      <c r="D774" s="11" t="s">
        <v>197</v>
      </c>
      <c r="E774" s="19">
        <v>-86530.61</v>
      </c>
      <c r="F774" t="s">
        <v>133</v>
      </c>
    </row>
    <row r="775" spans="1:6" x14ac:dyDescent="0.25">
      <c r="A775" s="11" t="s">
        <v>267</v>
      </c>
      <c r="B775" s="11">
        <v>26</v>
      </c>
      <c r="C775" s="11" t="s">
        <v>139</v>
      </c>
      <c r="D775" s="11" t="s">
        <v>216</v>
      </c>
      <c r="E775" s="19">
        <v>-21360</v>
      </c>
      <c r="F775" t="s">
        <v>133</v>
      </c>
    </row>
    <row r="776" spans="1:6" x14ac:dyDescent="0.25">
      <c r="A776" s="11" t="s">
        <v>267</v>
      </c>
      <c r="B776" s="11">
        <v>26</v>
      </c>
      <c r="C776" s="11" t="s">
        <v>139</v>
      </c>
      <c r="D776" s="11" t="s">
        <v>424</v>
      </c>
      <c r="E776" s="19">
        <v>98685.46</v>
      </c>
      <c r="F776" t="s">
        <v>133</v>
      </c>
    </row>
    <row r="777" spans="1:6" x14ac:dyDescent="0.25">
      <c r="A777" s="11" t="s">
        <v>267</v>
      </c>
      <c r="B777" s="11">
        <v>26</v>
      </c>
      <c r="C777" s="11" t="s">
        <v>72</v>
      </c>
      <c r="D777" s="11" t="s">
        <v>117</v>
      </c>
      <c r="E777" s="19">
        <v>-1913.18</v>
      </c>
      <c r="F777" t="s">
        <v>131</v>
      </c>
    </row>
    <row r="778" spans="1:6" x14ac:dyDescent="0.25">
      <c r="A778" s="11" t="s">
        <v>267</v>
      </c>
      <c r="B778" s="11">
        <v>26</v>
      </c>
      <c r="C778" s="11" t="s">
        <v>132</v>
      </c>
      <c r="D778" s="11" t="s">
        <v>117</v>
      </c>
      <c r="E778" s="19">
        <v>3444.78</v>
      </c>
      <c r="F778" t="s">
        <v>133</v>
      </c>
    </row>
    <row r="779" spans="1:6" x14ac:dyDescent="0.25">
      <c r="A779" s="11" t="s">
        <v>267</v>
      </c>
      <c r="B779" s="11">
        <v>26</v>
      </c>
      <c r="C779" s="11" t="s">
        <v>134</v>
      </c>
      <c r="D779" s="11" t="s">
        <v>117</v>
      </c>
      <c r="E779" s="19">
        <v>1837.21</v>
      </c>
      <c r="F779" t="s">
        <v>133</v>
      </c>
    </row>
    <row r="780" spans="1:6" x14ac:dyDescent="0.25">
      <c r="A780" s="11" t="s">
        <v>267</v>
      </c>
      <c r="B780" s="11">
        <v>26</v>
      </c>
      <c r="C780" s="11" t="s">
        <v>135</v>
      </c>
      <c r="D780" s="11" t="s">
        <v>117</v>
      </c>
      <c r="E780" s="19">
        <v>1608.43</v>
      </c>
      <c r="F780" t="s">
        <v>133</v>
      </c>
    </row>
    <row r="781" spans="1:6" x14ac:dyDescent="0.25">
      <c r="A781" s="11" t="s">
        <v>267</v>
      </c>
      <c r="B781" s="11">
        <v>26</v>
      </c>
      <c r="C781" s="11" t="s">
        <v>136</v>
      </c>
      <c r="D781" s="11" t="s">
        <v>117</v>
      </c>
      <c r="E781" s="19">
        <v>1148.8800000000001</v>
      </c>
      <c r="F781" t="s">
        <v>133</v>
      </c>
    </row>
    <row r="782" spans="1:6" x14ac:dyDescent="0.25">
      <c r="A782" s="11" t="s">
        <v>267</v>
      </c>
      <c r="B782" s="11">
        <v>26</v>
      </c>
      <c r="C782" s="11" t="s">
        <v>137</v>
      </c>
      <c r="D782" s="11" t="s">
        <v>117</v>
      </c>
      <c r="E782" s="19">
        <v>1378.74</v>
      </c>
      <c r="F782" t="s">
        <v>133</v>
      </c>
    </row>
    <row r="783" spans="1:6" x14ac:dyDescent="0.25">
      <c r="A783" s="11" t="s">
        <v>267</v>
      </c>
      <c r="B783" s="11">
        <v>26</v>
      </c>
      <c r="C783" s="11" t="s">
        <v>139</v>
      </c>
      <c r="D783" s="11" t="s">
        <v>117</v>
      </c>
      <c r="E783" s="19">
        <v>1838.31</v>
      </c>
      <c r="F783" t="s">
        <v>133</v>
      </c>
    </row>
    <row r="784" spans="1:6" x14ac:dyDescent="0.25">
      <c r="A784" s="11" t="s">
        <v>267</v>
      </c>
      <c r="B784" s="11">
        <v>26</v>
      </c>
      <c r="C784" s="11" t="s">
        <v>422</v>
      </c>
      <c r="D784" s="11" t="s">
        <v>117</v>
      </c>
      <c r="E784" s="19">
        <v>-9343.17</v>
      </c>
      <c r="F784" t="s">
        <v>423</v>
      </c>
    </row>
    <row r="785" spans="1:6" x14ac:dyDescent="0.25">
      <c r="A785" s="11" t="s">
        <v>268</v>
      </c>
      <c r="B785" s="11">
        <v>27</v>
      </c>
      <c r="C785" s="11" t="s">
        <v>72</v>
      </c>
      <c r="D785" s="11" t="s">
        <v>216</v>
      </c>
      <c r="E785" s="19">
        <v>-2670</v>
      </c>
      <c r="F785" t="s">
        <v>131</v>
      </c>
    </row>
    <row r="786" spans="1:6" x14ac:dyDescent="0.25">
      <c r="A786" s="11" t="s">
        <v>268</v>
      </c>
      <c r="B786" s="11">
        <v>27</v>
      </c>
      <c r="C786" s="11" t="s">
        <v>72</v>
      </c>
      <c r="D786" s="11" t="s">
        <v>424</v>
      </c>
      <c r="E786" s="19">
        <v>12705.75</v>
      </c>
      <c r="F786" t="s">
        <v>131</v>
      </c>
    </row>
    <row r="787" spans="1:6" x14ac:dyDescent="0.25">
      <c r="A787" s="11" t="s">
        <v>268</v>
      </c>
      <c r="B787" s="11">
        <v>27</v>
      </c>
      <c r="C787" s="11" t="s">
        <v>72</v>
      </c>
      <c r="D787" s="11" t="s">
        <v>421</v>
      </c>
      <c r="E787" s="19">
        <v>226000</v>
      </c>
      <c r="F787" t="s">
        <v>131</v>
      </c>
    </row>
    <row r="788" spans="1:6" x14ac:dyDescent="0.25">
      <c r="A788" s="11" t="s">
        <v>268</v>
      </c>
      <c r="B788" s="11">
        <v>27</v>
      </c>
      <c r="C788" s="11" t="s">
        <v>132</v>
      </c>
      <c r="D788" s="11" t="s">
        <v>197</v>
      </c>
      <c r="E788" s="19">
        <v>-162244.9</v>
      </c>
      <c r="F788" t="s">
        <v>133</v>
      </c>
    </row>
    <row r="789" spans="1:6" x14ac:dyDescent="0.25">
      <c r="A789" s="11" t="s">
        <v>268</v>
      </c>
      <c r="B789" s="11">
        <v>27</v>
      </c>
      <c r="C789" s="11" t="s">
        <v>132</v>
      </c>
      <c r="D789" s="11" t="s">
        <v>216</v>
      </c>
      <c r="E789" s="19">
        <v>-40050</v>
      </c>
      <c r="F789" t="s">
        <v>133</v>
      </c>
    </row>
    <row r="790" spans="1:6" x14ac:dyDescent="0.25">
      <c r="A790" s="11" t="s">
        <v>268</v>
      </c>
      <c r="B790" s="11">
        <v>27</v>
      </c>
      <c r="C790" s="11" t="s">
        <v>132</v>
      </c>
      <c r="D790" s="11" t="s">
        <v>424</v>
      </c>
      <c r="E790" s="19">
        <v>190586.3</v>
      </c>
      <c r="F790" t="s">
        <v>133</v>
      </c>
    </row>
    <row r="791" spans="1:6" x14ac:dyDescent="0.25">
      <c r="A791" s="11" t="s">
        <v>268</v>
      </c>
      <c r="B791" s="11">
        <v>27</v>
      </c>
      <c r="C791" s="11" t="s">
        <v>132</v>
      </c>
      <c r="D791" s="11" t="s">
        <v>421</v>
      </c>
      <c r="E791" s="19">
        <v>3390000</v>
      </c>
      <c r="F791" t="s">
        <v>133</v>
      </c>
    </row>
    <row r="792" spans="1:6" x14ac:dyDescent="0.25">
      <c r="A792" s="11" t="s">
        <v>268</v>
      </c>
      <c r="B792" s="11">
        <v>27</v>
      </c>
      <c r="C792" s="11" t="s">
        <v>134</v>
      </c>
      <c r="D792" s="11" t="s">
        <v>197</v>
      </c>
      <c r="E792" s="19">
        <v>-86530.61</v>
      </c>
      <c r="F792" t="s">
        <v>133</v>
      </c>
    </row>
    <row r="793" spans="1:6" x14ac:dyDescent="0.25">
      <c r="A793" s="11" t="s">
        <v>268</v>
      </c>
      <c r="B793" s="11">
        <v>27</v>
      </c>
      <c r="C793" s="11" t="s">
        <v>134</v>
      </c>
      <c r="D793" s="11" t="s">
        <v>216</v>
      </c>
      <c r="E793" s="19">
        <v>-21360</v>
      </c>
      <c r="F793" t="s">
        <v>133</v>
      </c>
    </row>
    <row r="794" spans="1:6" x14ac:dyDescent="0.25">
      <c r="A794" s="11" t="s">
        <v>268</v>
      </c>
      <c r="B794" s="11">
        <v>27</v>
      </c>
      <c r="C794" s="11" t="s">
        <v>134</v>
      </c>
      <c r="D794" s="11" t="s">
        <v>424</v>
      </c>
      <c r="E794" s="19">
        <v>101646.03</v>
      </c>
      <c r="F794" t="s">
        <v>133</v>
      </c>
    </row>
    <row r="795" spans="1:6" x14ac:dyDescent="0.25">
      <c r="A795" s="11" t="s">
        <v>268</v>
      </c>
      <c r="B795" s="11">
        <v>27</v>
      </c>
      <c r="C795" s="11" t="s">
        <v>134</v>
      </c>
      <c r="D795" s="11" t="s">
        <v>421</v>
      </c>
      <c r="E795" s="19">
        <v>1808000</v>
      </c>
      <c r="F795" t="s">
        <v>133</v>
      </c>
    </row>
    <row r="796" spans="1:6" x14ac:dyDescent="0.25">
      <c r="A796" s="11" t="s">
        <v>268</v>
      </c>
      <c r="B796" s="11">
        <v>27</v>
      </c>
      <c r="C796" s="11" t="s">
        <v>135</v>
      </c>
      <c r="D796" s="11" t="s">
        <v>197</v>
      </c>
      <c r="E796" s="19">
        <v>-75714.289999999994</v>
      </c>
      <c r="F796" t="s">
        <v>133</v>
      </c>
    </row>
    <row r="797" spans="1:6" x14ac:dyDescent="0.25">
      <c r="A797" s="11" t="s">
        <v>268</v>
      </c>
      <c r="B797" s="11">
        <v>27</v>
      </c>
      <c r="C797" s="11" t="s">
        <v>135</v>
      </c>
      <c r="D797" s="11" t="s">
        <v>216</v>
      </c>
      <c r="E797" s="19">
        <v>-18690</v>
      </c>
      <c r="F797" t="s">
        <v>133</v>
      </c>
    </row>
    <row r="798" spans="1:6" x14ac:dyDescent="0.25">
      <c r="A798" s="11" t="s">
        <v>268</v>
      </c>
      <c r="B798" s="11">
        <v>27</v>
      </c>
      <c r="C798" s="11" t="s">
        <v>135</v>
      </c>
      <c r="D798" s="11" t="s">
        <v>424</v>
      </c>
      <c r="E798" s="19">
        <v>88940.28</v>
      </c>
      <c r="F798" t="s">
        <v>133</v>
      </c>
    </row>
    <row r="799" spans="1:6" x14ac:dyDescent="0.25">
      <c r="A799" s="11" t="s">
        <v>268</v>
      </c>
      <c r="B799" s="11">
        <v>27</v>
      </c>
      <c r="C799" s="11" t="s">
        <v>135</v>
      </c>
      <c r="D799" s="11" t="s">
        <v>421</v>
      </c>
      <c r="E799" s="19">
        <v>1582000</v>
      </c>
      <c r="F799" t="s">
        <v>133</v>
      </c>
    </row>
    <row r="800" spans="1:6" x14ac:dyDescent="0.25">
      <c r="A800" s="11" t="s">
        <v>268</v>
      </c>
      <c r="B800" s="11">
        <v>27</v>
      </c>
      <c r="C800" s="11" t="s">
        <v>136</v>
      </c>
      <c r="D800" s="11" t="s">
        <v>197</v>
      </c>
      <c r="E800" s="19">
        <v>-54081.63</v>
      </c>
      <c r="F800" t="s">
        <v>133</v>
      </c>
    </row>
    <row r="801" spans="1:6" x14ac:dyDescent="0.25">
      <c r="A801" s="11" t="s">
        <v>268</v>
      </c>
      <c r="B801" s="11">
        <v>27</v>
      </c>
      <c r="C801" s="11" t="s">
        <v>136</v>
      </c>
      <c r="D801" s="11" t="s">
        <v>216</v>
      </c>
      <c r="E801" s="19">
        <v>-13350</v>
      </c>
      <c r="F801" t="s">
        <v>133</v>
      </c>
    </row>
    <row r="802" spans="1:6" x14ac:dyDescent="0.25">
      <c r="A802" s="11" t="s">
        <v>268</v>
      </c>
      <c r="B802" s="11">
        <v>27</v>
      </c>
      <c r="C802" s="11" t="s">
        <v>136</v>
      </c>
      <c r="D802" s="11" t="s">
        <v>424</v>
      </c>
      <c r="E802" s="19">
        <v>63528.77</v>
      </c>
      <c r="F802" t="s">
        <v>133</v>
      </c>
    </row>
    <row r="803" spans="1:6" x14ac:dyDescent="0.25">
      <c r="A803" s="11" t="s">
        <v>268</v>
      </c>
      <c r="B803" s="11">
        <v>27</v>
      </c>
      <c r="C803" s="11" t="s">
        <v>136</v>
      </c>
      <c r="D803" s="11" t="s">
        <v>421</v>
      </c>
      <c r="E803" s="19">
        <v>1130000</v>
      </c>
      <c r="F803" t="s">
        <v>133</v>
      </c>
    </row>
    <row r="804" spans="1:6" x14ac:dyDescent="0.25">
      <c r="A804" s="11" t="s">
        <v>268</v>
      </c>
      <c r="B804" s="11">
        <v>27</v>
      </c>
      <c r="C804" s="11" t="s">
        <v>137</v>
      </c>
      <c r="D804" s="11" t="s">
        <v>197</v>
      </c>
      <c r="E804" s="19">
        <v>-64897.96</v>
      </c>
      <c r="F804" t="s">
        <v>133</v>
      </c>
    </row>
    <row r="805" spans="1:6" x14ac:dyDescent="0.25">
      <c r="A805" s="11" t="s">
        <v>268</v>
      </c>
      <c r="B805" s="11">
        <v>27</v>
      </c>
      <c r="C805" s="11" t="s">
        <v>137</v>
      </c>
      <c r="D805" s="11" t="s">
        <v>216</v>
      </c>
      <c r="E805" s="19">
        <v>-16020</v>
      </c>
      <c r="F805" t="s">
        <v>133</v>
      </c>
    </row>
    <row r="806" spans="1:6" x14ac:dyDescent="0.25">
      <c r="A806" s="11" t="s">
        <v>268</v>
      </c>
      <c r="B806" s="11">
        <v>27</v>
      </c>
      <c r="C806" s="11" t="s">
        <v>137</v>
      </c>
      <c r="D806" s="11" t="s">
        <v>424</v>
      </c>
      <c r="E806" s="19">
        <v>76234.52</v>
      </c>
      <c r="F806" t="s">
        <v>133</v>
      </c>
    </row>
    <row r="807" spans="1:6" x14ac:dyDescent="0.25">
      <c r="A807" s="11" t="s">
        <v>268</v>
      </c>
      <c r="B807" s="11">
        <v>27</v>
      </c>
      <c r="C807" s="11" t="s">
        <v>137</v>
      </c>
      <c r="D807" s="11" t="s">
        <v>421</v>
      </c>
      <c r="E807" s="19">
        <v>1356000</v>
      </c>
      <c r="F807" t="s">
        <v>133</v>
      </c>
    </row>
    <row r="808" spans="1:6" x14ac:dyDescent="0.25">
      <c r="A808" s="11" t="s">
        <v>268</v>
      </c>
      <c r="B808" s="11">
        <v>27</v>
      </c>
      <c r="C808" s="11" t="s">
        <v>139</v>
      </c>
      <c r="D808" s="11" t="s">
        <v>197</v>
      </c>
      <c r="E808" s="19">
        <v>-86530.61</v>
      </c>
      <c r="F808" t="s">
        <v>133</v>
      </c>
    </row>
    <row r="809" spans="1:6" x14ac:dyDescent="0.25">
      <c r="A809" s="11" t="s">
        <v>268</v>
      </c>
      <c r="B809" s="11">
        <v>27</v>
      </c>
      <c r="C809" s="11" t="s">
        <v>139</v>
      </c>
      <c r="D809" s="11" t="s">
        <v>216</v>
      </c>
      <c r="E809" s="19">
        <v>-21360</v>
      </c>
      <c r="F809" t="s">
        <v>133</v>
      </c>
    </row>
    <row r="810" spans="1:6" x14ac:dyDescent="0.25">
      <c r="A810" s="11" t="s">
        <v>268</v>
      </c>
      <c r="B810" s="11">
        <v>27</v>
      </c>
      <c r="C810" s="11" t="s">
        <v>139</v>
      </c>
      <c r="D810" s="11" t="s">
        <v>424</v>
      </c>
      <c r="E810" s="19">
        <v>101646.03</v>
      </c>
      <c r="F810" t="s">
        <v>133</v>
      </c>
    </row>
    <row r="811" spans="1:6" x14ac:dyDescent="0.25">
      <c r="A811" s="11" t="s">
        <v>268</v>
      </c>
      <c r="B811" s="11">
        <v>27</v>
      </c>
      <c r="C811" s="11" t="s">
        <v>139</v>
      </c>
      <c r="D811" s="11" t="s">
        <v>421</v>
      </c>
      <c r="E811" s="19">
        <v>1808000</v>
      </c>
      <c r="F811" t="s">
        <v>133</v>
      </c>
    </row>
    <row r="812" spans="1:6" x14ac:dyDescent="0.25">
      <c r="A812" s="11" t="s">
        <v>268</v>
      </c>
      <c r="B812" s="11">
        <v>27</v>
      </c>
      <c r="C812" s="11" t="s">
        <v>72</v>
      </c>
      <c r="D812" s="11" t="s">
        <v>117</v>
      </c>
      <c r="E812" s="19">
        <v>-47292.55</v>
      </c>
      <c r="F812" t="s">
        <v>131</v>
      </c>
    </row>
    <row r="813" spans="1:6" x14ac:dyDescent="0.25">
      <c r="A813" s="11" t="s">
        <v>268</v>
      </c>
      <c r="B813" s="11">
        <v>27</v>
      </c>
      <c r="C813" s="11" t="s">
        <v>132</v>
      </c>
      <c r="D813" s="11" t="s">
        <v>117</v>
      </c>
      <c r="E813" s="19">
        <v>-675406.42</v>
      </c>
      <c r="F813" t="s">
        <v>133</v>
      </c>
    </row>
    <row r="814" spans="1:6" x14ac:dyDescent="0.25">
      <c r="A814" s="11" t="s">
        <v>268</v>
      </c>
      <c r="B814" s="11">
        <v>27</v>
      </c>
      <c r="C814" s="11" t="s">
        <v>134</v>
      </c>
      <c r="D814" s="11" t="s">
        <v>117</v>
      </c>
      <c r="E814" s="19">
        <v>-360216.76</v>
      </c>
      <c r="F814" t="s">
        <v>133</v>
      </c>
    </row>
    <row r="815" spans="1:6" x14ac:dyDescent="0.25">
      <c r="A815" s="11" t="s">
        <v>268</v>
      </c>
      <c r="B815" s="11">
        <v>27</v>
      </c>
      <c r="C815" s="11" t="s">
        <v>135</v>
      </c>
      <c r="D815" s="11" t="s">
        <v>117</v>
      </c>
      <c r="E815" s="19">
        <v>-315376.87</v>
      </c>
      <c r="F815" t="s">
        <v>133</v>
      </c>
    </row>
    <row r="816" spans="1:6" x14ac:dyDescent="0.25">
      <c r="A816" s="11" t="s">
        <v>268</v>
      </c>
      <c r="B816" s="11">
        <v>27</v>
      </c>
      <c r="C816" s="11" t="s">
        <v>136</v>
      </c>
      <c r="D816" s="11" t="s">
        <v>117</v>
      </c>
      <c r="E816" s="19">
        <v>-225269.2</v>
      </c>
      <c r="F816" t="s">
        <v>133</v>
      </c>
    </row>
    <row r="817" spans="1:6" x14ac:dyDescent="0.25">
      <c r="A817" s="11" t="s">
        <v>268</v>
      </c>
      <c r="B817" s="11">
        <v>27</v>
      </c>
      <c r="C817" s="11" t="s">
        <v>137</v>
      </c>
      <c r="D817" s="11" t="s">
        <v>117</v>
      </c>
      <c r="E817" s="19">
        <v>-270341.03999999998</v>
      </c>
      <c r="F817" t="s">
        <v>133</v>
      </c>
    </row>
    <row r="818" spans="1:6" x14ac:dyDescent="0.25">
      <c r="A818" s="11" t="s">
        <v>268</v>
      </c>
      <c r="B818" s="11">
        <v>27</v>
      </c>
      <c r="C818" s="11" t="s">
        <v>139</v>
      </c>
      <c r="D818" s="11" t="s">
        <v>117</v>
      </c>
      <c r="E818" s="19">
        <v>-360454.69</v>
      </c>
      <c r="F818" t="s">
        <v>133</v>
      </c>
    </row>
    <row r="819" spans="1:6" x14ac:dyDescent="0.25">
      <c r="A819" s="11" t="s">
        <v>268</v>
      </c>
      <c r="B819" s="11">
        <v>27</v>
      </c>
      <c r="C819" s="11" t="s">
        <v>422</v>
      </c>
      <c r="D819" s="11" t="s">
        <v>117</v>
      </c>
      <c r="E819" s="19">
        <v>2254357.5299999998</v>
      </c>
      <c r="F819" t="s">
        <v>423</v>
      </c>
    </row>
    <row r="820" spans="1:6" x14ac:dyDescent="0.25">
      <c r="A820" s="11" t="s">
        <v>269</v>
      </c>
      <c r="B820" s="11">
        <v>28</v>
      </c>
      <c r="C820" s="11" t="s">
        <v>72</v>
      </c>
      <c r="D820" s="11" t="s">
        <v>216</v>
      </c>
      <c r="E820" s="19">
        <v>-2670</v>
      </c>
      <c r="F820" t="s">
        <v>131</v>
      </c>
    </row>
    <row r="821" spans="1:6" x14ac:dyDescent="0.25">
      <c r="A821" s="11" t="s">
        <v>269</v>
      </c>
      <c r="B821" s="11">
        <v>28</v>
      </c>
      <c r="C821" s="11" t="s">
        <v>72</v>
      </c>
      <c r="D821" s="11" t="s">
        <v>424</v>
      </c>
      <c r="E821" s="19">
        <v>13086.93</v>
      </c>
      <c r="F821" t="s">
        <v>131</v>
      </c>
    </row>
    <row r="822" spans="1:6" x14ac:dyDescent="0.25">
      <c r="A822" s="11" t="s">
        <v>269</v>
      </c>
      <c r="B822" s="11">
        <v>28</v>
      </c>
      <c r="C822" s="11" t="s">
        <v>132</v>
      </c>
      <c r="D822" s="11" t="s">
        <v>197</v>
      </c>
      <c r="E822" s="19">
        <v>-162244.9</v>
      </c>
      <c r="F822" t="s">
        <v>133</v>
      </c>
    </row>
    <row r="823" spans="1:6" x14ac:dyDescent="0.25">
      <c r="A823" s="11" t="s">
        <v>269</v>
      </c>
      <c r="B823" s="11">
        <v>28</v>
      </c>
      <c r="C823" s="11" t="s">
        <v>132</v>
      </c>
      <c r="D823" s="11" t="s">
        <v>216</v>
      </c>
      <c r="E823" s="19">
        <v>-40050</v>
      </c>
      <c r="F823" t="s">
        <v>133</v>
      </c>
    </row>
    <row r="824" spans="1:6" x14ac:dyDescent="0.25">
      <c r="A824" s="11" t="s">
        <v>269</v>
      </c>
      <c r="B824" s="11">
        <v>28</v>
      </c>
      <c r="C824" s="11" t="s">
        <v>132</v>
      </c>
      <c r="D824" s="11" t="s">
        <v>424</v>
      </c>
      <c r="E824" s="19">
        <v>196303.89</v>
      </c>
      <c r="F824" t="s">
        <v>133</v>
      </c>
    </row>
    <row r="825" spans="1:6" x14ac:dyDescent="0.25">
      <c r="A825" s="11" t="s">
        <v>269</v>
      </c>
      <c r="B825" s="11">
        <v>28</v>
      </c>
      <c r="C825" s="11" t="s">
        <v>134</v>
      </c>
      <c r="D825" s="11" t="s">
        <v>197</v>
      </c>
      <c r="E825" s="19">
        <v>-86530.61</v>
      </c>
      <c r="F825" t="s">
        <v>133</v>
      </c>
    </row>
    <row r="826" spans="1:6" x14ac:dyDescent="0.25">
      <c r="A826" s="11" t="s">
        <v>269</v>
      </c>
      <c r="B826" s="11">
        <v>28</v>
      </c>
      <c r="C826" s="11" t="s">
        <v>134</v>
      </c>
      <c r="D826" s="11" t="s">
        <v>216</v>
      </c>
      <c r="E826" s="19">
        <v>-21360</v>
      </c>
      <c r="F826" t="s">
        <v>133</v>
      </c>
    </row>
    <row r="827" spans="1:6" x14ac:dyDescent="0.25">
      <c r="A827" s="11" t="s">
        <v>269</v>
      </c>
      <c r="B827" s="11">
        <v>28</v>
      </c>
      <c r="C827" s="11" t="s">
        <v>134</v>
      </c>
      <c r="D827" s="11" t="s">
        <v>424</v>
      </c>
      <c r="E827" s="19">
        <v>104695.41</v>
      </c>
      <c r="F827" t="s">
        <v>133</v>
      </c>
    </row>
    <row r="828" spans="1:6" x14ac:dyDescent="0.25">
      <c r="A828" s="11" t="s">
        <v>269</v>
      </c>
      <c r="B828" s="11">
        <v>28</v>
      </c>
      <c r="C828" s="11" t="s">
        <v>135</v>
      </c>
      <c r="D828" s="11" t="s">
        <v>197</v>
      </c>
      <c r="E828" s="19">
        <v>-75714.289999999994</v>
      </c>
      <c r="F828" t="s">
        <v>133</v>
      </c>
    </row>
    <row r="829" spans="1:6" x14ac:dyDescent="0.25">
      <c r="A829" s="11" t="s">
        <v>269</v>
      </c>
      <c r="B829" s="11">
        <v>28</v>
      </c>
      <c r="C829" s="11" t="s">
        <v>135</v>
      </c>
      <c r="D829" s="11" t="s">
        <v>216</v>
      </c>
      <c r="E829" s="19">
        <v>-18690</v>
      </c>
      <c r="F829" t="s">
        <v>133</v>
      </c>
    </row>
    <row r="830" spans="1:6" x14ac:dyDescent="0.25">
      <c r="A830" s="11" t="s">
        <v>269</v>
      </c>
      <c r="B830" s="11">
        <v>28</v>
      </c>
      <c r="C830" s="11" t="s">
        <v>135</v>
      </c>
      <c r="D830" s="11" t="s">
        <v>424</v>
      </c>
      <c r="E830" s="19">
        <v>91608.48</v>
      </c>
      <c r="F830" t="s">
        <v>133</v>
      </c>
    </row>
    <row r="831" spans="1:6" x14ac:dyDescent="0.25">
      <c r="A831" s="11" t="s">
        <v>269</v>
      </c>
      <c r="B831" s="11">
        <v>28</v>
      </c>
      <c r="C831" s="11" t="s">
        <v>136</v>
      </c>
      <c r="D831" s="11" t="s">
        <v>197</v>
      </c>
      <c r="E831" s="19">
        <v>-54081.63</v>
      </c>
      <c r="F831" t="s">
        <v>133</v>
      </c>
    </row>
    <row r="832" spans="1:6" x14ac:dyDescent="0.25">
      <c r="A832" s="11" t="s">
        <v>269</v>
      </c>
      <c r="B832" s="11">
        <v>28</v>
      </c>
      <c r="C832" s="11" t="s">
        <v>136</v>
      </c>
      <c r="D832" s="11" t="s">
        <v>216</v>
      </c>
      <c r="E832" s="19">
        <v>-13350</v>
      </c>
      <c r="F832" t="s">
        <v>133</v>
      </c>
    </row>
    <row r="833" spans="1:6" x14ac:dyDescent="0.25">
      <c r="A833" s="11" t="s">
        <v>269</v>
      </c>
      <c r="B833" s="11">
        <v>28</v>
      </c>
      <c r="C833" s="11" t="s">
        <v>136</v>
      </c>
      <c r="D833" s="11" t="s">
        <v>424</v>
      </c>
      <c r="E833" s="19">
        <v>65434.63</v>
      </c>
      <c r="F833" t="s">
        <v>133</v>
      </c>
    </row>
    <row r="834" spans="1:6" x14ac:dyDescent="0.25">
      <c r="A834" s="11" t="s">
        <v>269</v>
      </c>
      <c r="B834" s="11">
        <v>28</v>
      </c>
      <c r="C834" s="11" t="s">
        <v>137</v>
      </c>
      <c r="D834" s="11" t="s">
        <v>197</v>
      </c>
      <c r="E834" s="19">
        <v>-64897.96</v>
      </c>
      <c r="F834" t="s">
        <v>133</v>
      </c>
    </row>
    <row r="835" spans="1:6" x14ac:dyDescent="0.25">
      <c r="A835" s="11" t="s">
        <v>269</v>
      </c>
      <c r="B835" s="11">
        <v>28</v>
      </c>
      <c r="C835" s="11" t="s">
        <v>137</v>
      </c>
      <c r="D835" s="11" t="s">
        <v>216</v>
      </c>
      <c r="E835" s="19">
        <v>-16020</v>
      </c>
      <c r="F835" t="s">
        <v>133</v>
      </c>
    </row>
    <row r="836" spans="1:6" x14ac:dyDescent="0.25">
      <c r="A836" s="11" t="s">
        <v>269</v>
      </c>
      <c r="B836" s="11">
        <v>28</v>
      </c>
      <c r="C836" s="11" t="s">
        <v>137</v>
      </c>
      <c r="D836" s="11" t="s">
        <v>424</v>
      </c>
      <c r="E836" s="19">
        <v>78521.56</v>
      </c>
      <c r="F836" t="s">
        <v>133</v>
      </c>
    </row>
    <row r="837" spans="1:6" x14ac:dyDescent="0.25">
      <c r="A837" s="11" t="s">
        <v>269</v>
      </c>
      <c r="B837" s="11">
        <v>28</v>
      </c>
      <c r="C837" s="11" t="s">
        <v>139</v>
      </c>
      <c r="D837" s="11" t="s">
        <v>197</v>
      </c>
      <c r="E837" s="19">
        <v>-86530.61</v>
      </c>
      <c r="F837" t="s">
        <v>133</v>
      </c>
    </row>
    <row r="838" spans="1:6" x14ac:dyDescent="0.25">
      <c r="A838" s="11" t="s">
        <v>269</v>
      </c>
      <c r="B838" s="11">
        <v>28</v>
      </c>
      <c r="C838" s="11" t="s">
        <v>139</v>
      </c>
      <c r="D838" s="11" t="s">
        <v>216</v>
      </c>
      <c r="E838" s="19">
        <v>-21360</v>
      </c>
      <c r="F838" t="s">
        <v>133</v>
      </c>
    </row>
    <row r="839" spans="1:6" x14ac:dyDescent="0.25">
      <c r="A839" s="11" t="s">
        <v>269</v>
      </c>
      <c r="B839" s="11">
        <v>28</v>
      </c>
      <c r="C839" s="11" t="s">
        <v>139</v>
      </c>
      <c r="D839" s="11" t="s">
        <v>424</v>
      </c>
      <c r="E839" s="19">
        <v>104695.41</v>
      </c>
      <c r="F839" t="s">
        <v>133</v>
      </c>
    </row>
    <row r="840" spans="1:6" x14ac:dyDescent="0.25">
      <c r="A840" s="11" t="s">
        <v>269</v>
      </c>
      <c r="B840" s="11">
        <v>28</v>
      </c>
      <c r="C840" s="11" t="s">
        <v>72</v>
      </c>
      <c r="D840" s="11" t="s">
        <v>117</v>
      </c>
      <c r="E840" s="19">
        <v>-2065.83</v>
      </c>
      <c r="F840" t="s">
        <v>131</v>
      </c>
    </row>
    <row r="841" spans="1:6" x14ac:dyDescent="0.25">
      <c r="A841" s="11" t="s">
        <v>269</v>
      </c>
      <c r="B841" s="11">
        <v>28</v>
      </c>
      <c r="C841" s="11" t="s">
        <v>132</v>
      </c>
      <c r="D841" s="11" t="s">
        <v>117</v>
      </c>
      <c r="E841" s="19">
        <v>1192.6600000000001</v>
      </c>
      <c r="F841" t="s">
        <v>133</v>
      </c>
    </row>
    <row r="842" spans="1:6" x14ac:dyDescent="0.25">
      <c r="A842" s="11" t="s">
        <v>269</v>
      </c>
      <c r="B842" s="11">
        <v>28</v>
      </c>
      <c r="C842" s="11" t="s">
        <v>134</v>
      </c>
      <c r="D842" s="11" t="s">
        <v>117</v>
      </c>
      <c r="E842" s="19">
        <v>636.09</v>
      </c>
      <c r="F842" t="s">
        <v>133</v>
      </c>
    </row>
    <row r="843" spans="1:6" x14ac:dyDescent="0.25">
      <c r="A843" s="11" t="s">
        <v>269</v>
      </c>
      <c r="B843" s="11">
        <v>28</v>
      </c>
      <c r="C843" s="11" t="s">
        <v>135</v>
      </c>
      <c r="D843" s="11" t="s">
        <v>117</v>
      </c>
      <c r="E843" s="19">
        <v>556.72</v>
      </c>
      <c r="F843" t="s">
        <v>133</v>
      </c>
    </row>
    <row r="844" spans="1:6" x14ac:dyDescent="0.25">
      <c r="A844" s="11" t="s">
        <v>269</v>
      </c>
      <c r="B844" s="11">
        <v>28</v>
      </c>
      <c r="C844" s="11" t="s">
        <v>136</v>
      </c>
      <c r="D844" s="11" t="s">
        <v>117</v>
      </c>
      <c r="E844" s="19">
        <v>397.65</v>
      </c>
      <c r="F844" t="s">
        <v>133</v>
      </c>
    </row>
    <row r="845" spans="1:6" x14ac:dyDescent="0.25">
      <c r="A845" s="11" t="s">
        <v>269</v>
      </c>
      <c r="B845" s="11">
        <v>28</v>
      </c>
      <c r="C845" s="11" t="s">
        <v>137</v>
      </c>
      <c r="D845" s="11" t="s">
        <v>117</v>
      </c>
      <c r="E845" s="19">
        <v>477.2</v>
      </c>
      <c r="F845" t="s">
        <v>133</v>
      </c>
    </row>
    <row r="846" spans="1:6" x14ac:dyDescent="0.25">
      <c r="A846" s="11" t="s">
        <v>269</v>
      </c>
      <c r="B846" s="11">
        <v>28</v>
      </c>
      <c r="C846" s="11" t="s">
        <v>139</v>
      </c>
      <c r="D846" s="11" t="s">
        <v>117</v>
      </c>
      <c r="E846" s="19">
        <v>636.24</v>
      </c>
      <c r="F846" t="s">
        <v>133</v>
      </c>
    </row>
    <row r="847" spans="1:6" x14ac:dyDescent="0.25">
      <c r="A847" s="11" t="s">
        <v>269</v>
      </c>
      <c r="B847" s="11">
        <v>28</v>
      </c>
      <c r="C847" s="11" t="s">
        <v>422</v>
      </c>
      <c r="D847" s="11" t="s">
        <v>117</v>
      </c>
      <c r="E847" s="19">
        <v>-1830.73</v>
      </c>
      <c r="F847" t="s">
        <v>423</v>
      </c>
    </row>
    <row r="848" spans="1:6" x14ac:dyDescent="0.25">
      <c r="A848" s="11" t="s">
        <v>270</v>
      </c>
      <c r="B848" s="11">
        <v>29</v>
      </c>
      <c r="C848" s="11" t="s">
        <v>72</v>
      </c>
      <c r="D848" s="11" t="s">
        <v>216</v>
      </c>
      <c r="E848" s="19">
        <v>-2670</v>
      </c>
      <c r="F848" t="s">
        <v>131</v>
      </c>
    </row>
    <row r="849" spans="1:6" x14ac:dyDescent="0.25">
      <c r="A849" s="11" t="s">
        <v>270</v>
      </c>
      <c r="B849" s="11">
        <v>29</v>
      </c>
      <c r="C849" s="11" t="s">
        <v>72</v>
      </c>
      <c r="D849" s="11" t="s">
        <v>424</v>
      </c>
      <c r="E849" s="19">
        <v>13479.53</v>
      </c>
      <c r="F849" t="s">
        <v>131</v>
      </c>
    </row>
    <row r="850" spans="1:6" x14ac:dyDescent="0.25">
      <c r="A850" s="11" t="s">
        <v>270</v>
      </c>
      <c r="B850" s="11">
        <v>29</v>
      </c>
      <c r="C850" s="11" t="s">
        <v>72</v>
      </c>
      <c r="D850" s="11" t="s">
        <v>421</v>
      </c>
      <c r="E850" s="19">
        <v>190000</v>
      </c>
      <c r="F850" t="s">
        <v>131</v>
      </c>
    </row>
    <row r="851" spans="1:6" x14ac:dyDescent="0.25">
      <c r="A851" s="11" t="s">
        <v>270</v>
      </c>
      <c r="B851" s="11">
        <v>29</v>
      </c>
      <c r="C851" s="11" t="s">
        <v>132</v>
      </c>
      <c r="D851" s="11" t="s">
        <v>197</v>
      </c>
      <c r="E851" s="19">
        <v>-162244.9</v>
      </c>
      <c r="F851" t="s">
        <v>133</v>
      </c>
    </row>
    <row r="852" spans="1:6" x14ac:dyDescent="0.25">
      <c r="A852" s="11" t="s">
        <v>270</v>
      </c>
      <c r="B852" s="11">
        <v>29</v>
      </c>
      <c r="C852" s="11" t="s">
        <v>132</v>
      </c>
      <c r="D852" s="11" t="s">
        <v>216</v>
      </c>
      <c r="E852" s="19">
        <v>-40050</v>
      </c>
      <c r="F852" t="s">
        <v>133</v>
      </c>
    </row>
    <row r="853" spans="1:6" x14ac:dyDescent="0.25">
      <c r="A853" s="11" t="s">
        <v>270</v>
      </c>
      <c r="B853" s="11">
        <v>29</v>
      </c>
      <c r="C853" s="11" t="s">
        <v>132</v>
      </c>
      <c r="D853" s="11" t="s">
        <v>424</v>
      </c>
      <c r="E853" s="19">
        <v>202193.01</v>
      </c>
      <c r="F853" t="s">
        <v>133</v>
      </c>
    </row>
    <row r="854" spans="1:6" x14ac:dyDescent="0.25">
      <c r="A854" s="11" t="s">
        <v>270</v>
      </c>
      <c r="B854" s="11">
        <v>29</v>
      </c>
      <c r="C854" s="11" t="s">
        <v>132</v>
      </c>
      <c r="D854" s="11" t="s">
        <v>421</v>
      </c>
      <c r="E854" s="19">
        <v>2850000</v>
      </c>
      <c r="F854" t="s">
        <v>133</v>
      </c>
    </row>
    <row r="855" spans="1:6" x14ac:dyDescent="0.25">
      <c r="A855" s="11" t="s">
        <v>270</v>
      </c>
      <c r="B855" s="11">
        <v>29</v>
      </c>
      <c r="C855" s="11" t="s">
        <v>134</v>
      </c>
      <c r="D855" s="11" t="s">
        <v>197</v>
      </c>
      <c r="E855" s="19">
        <v>-86530.61</v>
      </c>
      <c r="F855" t="s">
        <v>133</v>
      </c>
    </row>
    <row r="856" spans="1:6" x14ac:dyDescent="0.25">
      <c r="A856" s="11" t="s">
        <v>270</v>
      </c>
      <c r="B856" s="11">
        <v>29</v>
      </c>
      <c r="C856" s="11" t="s">
        <v>134</v>
      </c>
      <c r="D856" s="11" t="s">
        <v>216</v>
      </c>
      <c r="E856" s="19">
        <v>-21360</v>
      </c>
      <c r="F856" t="s">
        <v>133</v>
      </c>
    </row>
    <row r="857" spans="1:6" x14ac:dyDescent="0.25">
      <c r="A857" s="11" t="s">
        <v>270</v>
      </c>
      <c r="B857" s="11">
        <v>29</v>
      </c>
      <c r="C857" s="11" t="s">
        <v>134</v>
      </c>
      <c r="D857" s="11" t="s">
        <v>424</v>
      </c>
      <c r="E857" s="19">
        <v>107836.27</v>
      </c>
      <c r="F857" t="s">
        <v>133</v>
      </c>
    </row>
    <row r="858" spans="1:6" x14ac:dyDescent="0.25">
      <c r="A858" s="11" t="s">
        <v>270</v>
      </c>
      <c r="B858" s="11">
        <v>29</v>
      </c>
      <c r="C858" s="11" t="s">
        <v>134</v>
      </c>
      <c r="D858" s="11" t="s">
        <v>421</v>
      </c>
      <c r="E858" s="19">
        <v>1520000</v>
      </c>
      <c r="F858" t="s">
        <v>133</v>
      </c>
    </row>
    <row r="859" spans="1:6" x14ac:dyDescent="0.25">
      <c r="A859" s="11" t="s">
        <v>270</v>
      </c>
      <c r="B859" s="11">
        <v>29</v>
      </c>
      <c r="C859" s="11" t="s">
        <v>135</v>
      </c>
      <c r="D859" s="11" t="s">
        <v>197</v>
      </c>
      <c r="E859" s="19">
        <v>-75714.289999999994</v>
      </c>
      <c r="F859" t="s">
        <v>133</v>
      </c>
    </row>
    <row r="860" spans="1:6" x14ac:dyDescent="0.25">
      <c r="A860" s="11" t="s">
        <v>270</v>
      </c>
      <c r="B860" s="11">
        <v>29</v>
      </c>
      <c r="C860" s="11" t="s">
        <v>135</v>
      </c>
      <c r="D860" s="11" t="s">
        <v>216</v>
      </c>
      <c r="E860" s="19">
        <v>-18690</v>
      </c>
      <c r="F860" t="s">
        <v>133</v>
      </c>
    </row>
    <row r="861" spans="1:6" x14ac:dyDescent="0.25">
      <c r="A861" s="11" t="s">
        <v>270</v>
      </c>
      <c r="B861" s="11">
        <v>29</v>
      </c>
      <c r="C861" s="11" t="s">
        <v>135</v>
      </c>
      <c r="D861" s="11" t="s">
        <v>424</v>
      </c>
      <c r="E861" s="19">
        <v>94356.74</v>
      </c>
      <c r="F861" t="s">
        <v>133</v>
      </c>
    </row>
    <row r="862" spans="1:6" x14ac:dyDescent="0.25">
      <c r="A862" s="11" t="s">
        <v>270</v>
      </c>
      <c r="B862" s="11">
        <v>29</v>
      </c>
      <c r="C862" s="11" t="s">
        <v>135</v>
      </c>
      <c r="D862" s="11" t="s">
        <v>421</v>
      </c>
      <c r="E862" s="19">
        <v>1330000</v>
      </c>
      <c r="F862" t="s">
        <v>133</v>
      </c>
    </row>
    <row r="863" spans="1:6" x14ac:dyDescent="0.25">
      <c r="A863" s="11" t="s">
        <v>270</v>
      </c>
      <c r="B863" s="11">
        <v>29</v>
      </c>
      <c r="C863" s="11" t="s">
        <v>136</v>
      </c>
      <c r="D863" s="11" t="s">
        <v>197</v>
      </c>
      <c r="E863" s="19">
        <v>-54081.63</v>
      </c>
      <c r="F863" t="s">
        <v>133</v>
      </c>
    </row>
    <row r="864" spans="1:6" x14ac:dyDescent="0.25">
      <c r="A864" s="11" t="s">
        <v>270</v>
      </c>
      <c r="B864" s="11">
        <v>29</v>
      </c>
      <c r="C864" s="11" t="s">
        <v>136</v>
      </c>
      <c r="D864" s="11" t="s">
        <v>216</v>
      </c>
      <c r="E864" s="19">
        <v>-13350</v>
      </c>
      <c r="F864" t="s">
        <v>133</v>
      </c>
    </row>
    <row r="865" spans="1:6" x14ac:dyDescent="0.25">
      <c r="A865" s="11" t="s">
        <v>270</v>
      </c>
      <c r="B865" s="11">
        <v>29</v>
      </c>
      <c r="C865" s="11" t="s">
        <v>136</v>
      </c>
      <c r="D865" s="11" t="s">
        <v>424</v>
      </c>
      <c r="E865" s="19">
        <v>67397.67</v>
      </c>
      <c r="F865" t="s">
        <v>133</v>
      </c>
    </row>
    <row r="866" spans="1:6" x14ac:dyDescent="0.25">
      <c r="A866" s="11" t="s">
        <v>270</v>
      </c>
      <c r="B866" s="11">
        <v>29</v>
      </c>
      <c r="C866" s="11" t="s">
        <v>136</v>
      </c>
      <c r="D866" s="11" t="s">
        <v>421</v>
      </c>
      <c r="E866" s="19">
        <v>950000</v>
      </c>
      <c r="F866" t="s">
        <v>133</v>
      </c>
    </row>
    <row r="867" spans="1:6" x14ac:dyDescent="0.25">
      <c r="A867" s="11" t="s">
        <v>270</v>
      </c>
      <c r="B867" s="11">
        <v>29</v>
      </c>
      <c r="C867" s="11" t="s">
        <v>137</v>
      </c>
      <c r="D867" s="11" t="s">
        <v>197</v>
      </c>
      <c r="E867" s="19">
        <v>-64897.96</v>
      </c>
      <c r="F867" t="s">
        <v>133</v>
      </c>
    </row>
    <row r="868" spans="1:6" x14ac:dyDescent="0.25">
      <c r="A868" s="11" t="s">
        <v>270</v>
      </c>
      <c r="B868" s="11">
        <v>29</v>
      </c>
      <c r="C868" s="11" t="s">
        <v>137</v>
      </c>
      <c r="D868" s="11" t="s">
        <v>216</v>
      </c>
      <c r="E868" s="19">
        <v>-16020</v>
      </c>
      <c r="F868" t="s">
        <v>133</v>
      </c>
    </row>
    <row r="869" spans="1:6" x14ac:dyDescent="0.25">
      <c r="A869" s="11" t="s">
        <v>270</v>
      </c>
      <c r="B869" s="11">
        <v>29</v>
      </c>
      <c r="C869" s="11" t="s">
        <v>137</v>
      </c>
      <c r="D869" s="11" t="s">
        <v>424</v>
      </c>
      <c r="E869" s="19">
        <v>80877.2</v>
      </c>
      <c r="F869" t="s">
        <v>133</v>
      </c>
    </row>
    <row r="870" spans="1:6" x14ac:dyDescent="0.25">
      <c r="A870" s="11" t="s">
        <v>270</v>
      </c>
      <c r="B870" s="11">
        <v>29</v>
      </c>
      <c r="C870" s="11" t="s">
        <v>137</v>
      </c>
      <c r="D870" s="11" t="s">
        <v>421</v>
      </c>
      <c r="E870" s="19">
        <v>1140000</v>
      </c>
      <c r="F870" t="s">
        <v>133</v>
      </c>
    </row>
    <row r="871" spans="1:6" x14ac:dyDescent="0.25">
      <c r="A871" s="11" t="s">
        <v>270</v>
      </c>
      <c r="B871" s="11">
        <v>29</v>
      </c>
      <c r="C871" s="11" t="s">
        <v>139</v>
      </c>
      <c r="D871" s="11" t="s">
        <v>197</v>
      </c>
      <c r="E871" s="19">
        <v>-86530.61</v>
      </c>
      <c r="F871" t="s">
        <v>133</v>
      </c>
    </row>
    <row r="872" spans="1:6" x14ac:dyDescent="0.25">
      <c r="A872" s="11" t="s">
        <v>270</v>
      </c>
      <c r="B872" s="11">
        <v>29</v>
      </c>
      <c r="C872" s="11" t="s">
        <v>139</v>
      </c>
      <c r="D872" s="11" t="s">
        <v>216</v>
      </c>
      <c r="E872" s="19">
        <v>-21360</v>
      </c>
      <c r="F872" t="s">
        <v>133</v>
      </c>
    </row>
    <row r="873" spans="1:6" x14ac:dyDescent="0.25">
      <c r="A873" s="11" t="s">
        <v>270</v>
      </c>
      <c r="B873" s="11">
        <v>29</v>
      </c>
      <c r="C873" s="11" t="s">
        <v>139</v>
      </c>
      <c r="D873" s="11" t="s">
        <v>424</v>
      </c>
      <c r="E873" s="19">
        <v>107836.28</v>
      </c>
      <c r="F873" t="s">
        <v>133</v>
      </c>
    </row>
    <row r="874" spans="1:6" x14ac:dyDescent="0.25">
      <c r="A874" s="11" t="s">
        <v>270</v>
      </c>
      <c r="B874" s="11">
        <v>29</v>
      </c>
      <c r="C874" s="11" t="s">
        <v>139</v>
      </c>
      <c r="D874" s="11" t="s">
        <v>421</v>
      </c>
      <c r="E874" s="19">
        <v>1520000</v>
      </c>
      <c r="F874" t="s">
        <v>133</v>
      </c>
    </row>
    <row r="875" spans="1:6" x14ac:dyDescent="0.25">
      <c r="A875" s="11" t="s">
        <v>270</v>
      </c>
      <c r="B875" s="11">
        <v>29</v>
      </c>
      <c r="C875" s="11" t="s">
        <v>72</v>
      </c>
      <c r="D875" s="11" t="s">
        <v>117</v>
      </c>
      <c r="E875" s="19">
        <v>-40220.239999999998</v>
      </c>
      <c r="F875" t="s">
        <v>131</v>
      </c>
    </row>
    <row r="876" spans="1:6" x14ac:dyDescent="0.25">
      <c r="A876" s="11" t="s">
        <v>270</v>
      </c>
      <c r="B876" s="11">
        <v>29</v>
      </c>
      <c r="C876" s="11" t="s">
        <v>132</v>
      </c>
      <c r="D876" s="11" t="s">
        <v>117</v>
      </c>
      <c r="E876" s="19">
        <v>-569804.64</v>
      </c>
      <c r="F876" t="s">
        <v>133</v>
      </c>
    </row>
    <row r="877" spans="1:6" x14ac:dyDescent="0.25">
      <c r="A877" s="11" t="s">
        <v>270</v>
      </c>
      <c r="B877" s="11">
        <v>29</v>
      </c>
      <c r="C877" s="11" t="s">
        <v>134</v>
      </c>
      <c r="D877" s="11" t="s">
        <v>117</v>
      </c>
      <c r="E877" s="19">
        <v>-303895.81</v>
      </c>
      <c r="F877" t="s">
        <v>133</v>
      </c>
    </row>
    <row r="878" spans="1:6" x14ac:dyDescent="0.25">
      <c r="A878" s="11" t="s">
        <v>270</v>
      </c>
      <c r="B878" s="11">
        <v>29</v>
      </c>
      <c r="C878" s="11" t="s">
        <v>135</v>
      </c>
      <c r="D878" s="11" t="s">
        <v>117</v>
      </c>
      <c r="E878" s="19">
        <v>-266039.15000000002</v>
      </c>
      <c r="F878" t="s">
        <v>133</v>
      </c>
    </row>
    <row r="879" spans="1:6" x14ac:dyDescent="0.25">
      <c r="A879" s="11" t="s">
        <v>270</v>
      </c>
      <c r="B879" s="11">
        <v>29</v>
      </c>
      <c r="C879" s="11" t="s">
        <v>136</v>
      </c>
      <c r="D879" s="11" t="s">
        <v>117</v>
      </c>
      <c r="E879" s="19">
        <v>-190027.96</v>
      </c>
      <c r="F879" t="s">
        <v>133</v>
      </c>
    </row>
    <row r="880" spans="1:6" x14ac:dyDescent="0.25">
      <c r="A880" s="11" t="s">
        <v>270</v>
      </c>
      <c r="B880" s="11">
        <v>29</v>
      </c>
      <c r="C880" s="11" t="s">
        <v>137</v>
      </c>
      <c r="D880" s="11" t="s">
        <v>117</v>
      </c>
      <c r="E880" s="19">
        <v>-228046.09</v>
      </c>
      <c r="F880" t="s">
        <v>133</v>
      </c>
    </row>
    <row r="881" spans="1:6" x14ac:dyDescent="0.25">
      <c r="A881" s="11" t="s">
        <v>270</v>
      </c>
      <c r="B881" s="11">
        <v>29</v>
      </c>
      <c r="C881" s="11" t="s">
        <v>139</v>
      </c>
      <c r="D881" s="11" t="s">
        <v>117</v>
      </c>
      <c r="E881" s="19">
        <v>-304061.45</v>
      </c>
      <c r="F881" t="s">
        <v>133</v>
      </c>
    </row>
    <row r="882" spans="1:6" x14ac:dyDescent="0.25">
      <c r="A882" s="11" t="s">
        <v>270</v>
      </c>
      <c r="B882" s="11">
        <v>29</v>
      </c>
      <c r="C882" s="11" t="s">
        <v>422</v>
      </c>
      <c r="D882" s="11" t="s">
        <v>117</v>
      </c>
      <c r="E882" s="19">
        <v>1902095.34</v>
      </c>
      <c r="F882" t="s">
        <v>423</v>
      </c>
    </row>
    <row r="883" spans="1:6" x14ac:dyDescent="0.25">
      <c r="A883" s="11" t="s">
        <v>271</v>
      </c>
      <c r="B883" s="11">
        <v>30</v>
      </c>
      <c r="C883" s="11" t="s">
        <v>72</v>
      </c>
      <c r="D883" s="11" t="s">
        <v>334</v>
      </c>
      <c r="E883" s="19">
        <v>10000</v>
      </c>
      <c r="F883" t="s">
        <v>131</v>
      </c>
    </row>
    <row r="884" spans="1:6" x14ac:dyDescent="0.25">
      <c r="A884" s="11" t="s">
        <v>271</v>
      </c>
      <c r="B884" s="11">
        <v>30</v>
      </c>
      <c r="C884" s="11" t="s">
        <v>72</v>
      </c>
      <c r="D884" s="11" t="s">
        <v>216</v>
      </c>
      <c r="E884" s="19">
        <v>-2670</v>
      </c>
      <c r="F884" t="s">
        <v>131</v>
      </c>
    </row>
    <row r="885" spans="1:6" x14ac:dyDescent="0.25">
      <c r="A885" s="11" t="s">
        <v>271</v>
      </c>
      <c r="B885" s="11">
        <v>30</v>
      </c>
      <c r="C885" s="11" t="s">
        <v>72</v>
      </c>
      <c r="D885" s="11" t="s">
        <v>424</v>
      </c>
      <c r="E885" s="19">
        <v>13883.92</v>
      </c>
      <c r="F885" t="s">
        <v>131</v>
      </c>
    </row>
    <row r="886" spans="1:6" x14ac:dyDescent="0.25">
      <c r="A886" s="11" t="s">
        <v>271</v>
      </c>
      <c r="B886" s="11">
        <v>30</v>
      </c>
      <c r="C886" s="11" t="s">
        <v>132</v>
      </c>
      <c r="D886" s="11" t="s">
        <v>334</v>
      </c>
      <c r="E886" s="19">
        <v>150000</v>
      </c>
      <c r="F886" t="s">
        <v>133</v>
      </c>
    </row>
    <row r="887" spans="1:6" x14ac:dyDescent="0.25">
      <c r="A887" s="11" t="s">
        <v>271</v>
      </c>
      <c r="B887" s="11">
        <v>30</v>
      </c>
      <c r="C887" s="11" t="s">
        <v>132</v>
      </c>
      <c r="D887" s="11" t="s">
        <v>197</v>
      </c>
      <c r="E887" s="19">
        <v>-162244.9</v>
      </c>
      <c r="F887" t="s">
        <v>133</v>
      </c>
    </row>
    <row r="888" spans="1:6" x14ac:dyDescent="0.25">
      <c r="A888" s="11" t="s">
        <v>271</v>
      </c>
      <c r="B888" s="11">
        <v>30</v>
      </c>
      <c r="C888" s="11" t="s">
        <v>132</v>
      </c>
      <c r="D888" s="11" t="s">
        <v>216</v>
      </c>
      <c r="E888" s="19">
        <v>-40050</v>
      </c>
      <c r="F888" t="s">
        <v>133</v>
      </c>
    </row>
    <row r="889" spans="1:6" x14ac:dyDescent="0.25">
      <c r="A889" s="11" t="s">
        <v>271</v>
      </c>
      <c r="B889" s="11">
        <v>30</v>
      </c>
      <c r="C889" s="11" t="s">
        <v>132</v>
      </c>
      <c r="D889" s="11" t="s">
        <v>424</v>
      </c>
      <c r="E889" s="19">
        <v>208258.8</v>
      </c>
      <c r="F889" t="s">
        <v>133</v>
      </c>
    </row>
    <row r="890" spans="1:6" x14ac:dyDescent="0.25">
      <c r="A890" s="11" t="s">
        <v>271</v>
      </c>
      <c r="B890" s="11">
        <v>30</v>
      </c>
      <c r="C890" s="11" t="s">
        <v>134</v>
      </c>
      <c r="D890" s="11" t="s">
        <v>334</v>
      </c>
      <c r="E890" s="19">
        <v>80000</v>
      </c>
      <c r="F890" t="s">
        <v>133</v>
      </c>
    </row>
    <row r="891" spans="1:6" x14ac:dyDescent="0.25">
      <c r="A891" s="11" t="s">
        <v>271</v>
      </c>
      <c r="B891" s="11">
        <v>30</v>
      </c>
      <c r="C891" s="11" t="s">
        <v>134</v>
      </c>
      <c r="D891" s="11" t="s">
        <v>197</v>
      </c>
      <c r="E891" s="19">
        <v>-86530.61</v>
      </c>
      <c r="F891" t="s">
        <v>133</v>
      </c>
    </row>
    <row r="892" spans="1:6" x14ac:dyDescent="0.25">
      <c r="A892" s="11" t="s">
        <v>271</v>
      </c>
      <c r="B892" s="11">
        <v>30</v>
      </c>
      <c r="C892" s="11" t="s">
        <v>134</v>
      </c>
      <c r="D892" s="11" t="s">
        <v>216</v>
      </c>
      <c r="E892" s="19">
        <v>-21360</v>
      </c>
      <c r="F892" t="s">
        <v>133</v>
      </c>
    </row>
    <row r="893" spans="1:6" x14ac:dyDescent="0.25">
      <c r="A893" s="11" t="s">
        <v>271</v>
      </c>
      <c r="B893" s="11">
        <v>30</v>
      </c>
      <c r="C893" s="11" t="s">
        <v>134</v>
      </c>
      <c r="D893" s="11" t="s">
        <v>424</v>
      </c>
      <c r="E893" s="19">
        <v>111071.36</v>
      </c>
      <c r="F893" t="s">
        <v>133</v>
      </c>
    </row>
    <row r="894" spans="1:6" x14ac:dyDescent="0.25">
      <c r="A894" s="11" t="s">
        <v>271</v>
      </c>
      <c r="B894" s="11">
        <v>30</v>
      </c>
      <c r="C894" s="11" t="s">
        <v>135</v>
      </c>
      <c r="D894" s="11" t="s">
        <v>334</v>
      </c>
      <c r="E894" s="19">
        <v>70000</v>
      </c>
      <c r="F894" t="s">
        <v>133</v>
      </c>
    </row>
    <row r="895" spans="1:6" x14ac:dyDescent="0.25">
      <c r="A895" s="11" t="s">
        <v>271</v>
      </c>
      <c r="B895" s="11">
        <v>30</v>
      </c>
      <c r="C895" s="11" t="s">
        <v>135</v>
      </c>
      <c r="D895" s="11" t="s">
        <v>197</v>
      </c>
      <c r="E895" s="19">
        <v>-75714.289999999994</v>
      </c>
      <c r="F895" t="s">
        <v>133</v>
      </c>
    </row>
    <row r="896" spans="1:6" x14ac:dyDescent="0.25">
      <c r="A896" s="11" t="s">
        <v>271</v>
      </c>
      <c r="B896" s="11">
        <v>30</v>
      </c>
      <c r="C896" s="11" t="s">
        <v>135</v>
      </c>
      <c r="D896" s="11" t="s">
        <v>216</v>
      </c>
      <c r="E896" s="19">
        <v>-18690</v>
      </c>
      <c r="F896" t="s">
        <v>133</v>
      </c>
    </row>
    <row r="897" spans="1:6" x14ac:dyDescent="0.25">
      <c r="A897" s="11" t="s">
        <v>271</v>
      </c>
      <c r="B897" s="11">
        <v>30</v>
      </c>
      <c r="C897" s="11" t="s">
        <v>135</v>
      </c>
      <c r="D897" s="11" t="s">
        <v>424</v>
      </c>
      <c r="E897" s="19">
        <v>97187.44</v>
      </c>
      <c r="F897" t="s">
        <v>133</v>
      </c>
    </row>
    <row r="898" spans="1:6" x14ac:dyDescent="0.25">
      <c r="A898" s="11" t="s">
        <v>271</v>
      </c>
      <c r="B898" s="11">
        <v>30</v>
      </c>
      <c r="C898" s="11" t="s">
        <v>136</v>
      </c>
      <c r="D898" s="11" t="s">
        <v>334</v>
      </c>
      <c r="E898" s="19">
        <v>50000</v>
      </c>
      <c r="F898" t="s">
        <v>133</v>
      </c>
    </row>
    <row r="899" spans="1:6" x14ac:dyDescent="0.25">
      <c r="A899" s="11" t="s">
        <v>271</v>
      </c>
      <c r="B899" s="11">
        <v>30</v>
      </c>
      <c r="C899" s="11" t="s">
        <v>136</v>
      </c>
      <c r="D899" s="11" t="s">
        <v>197</v>
      </c>
      <c r="E899" s="19">
        <v>-54081.63</v>
      </c>
      <c r="F899" t="s">
        <v>133</v>
      </c>
    </row>
    <row r="900" spans="1:6" x14ac:dyDescent="0.25">
      <c r="A900" s="11" t="s">
        <v>271</v>
      </c>
      <c r="B900" s="11">
        <v>30</v>
      </c>
      <c r="C900" s="11" t="s">
        <v>136</v>
      </c>
      <c r="D900" s="11" t="s">
        <v>216</v>
      </c>
      <c r="E900" s="19">
        <v>-13350</v>
      </c>
      <c r="F900" t="s">
        <v>133</v>
      </c>
    </row>
    <row r="901" spans="1:6" x14ac:dyDescent="0.25">
      <c r="A901" s="11" t="s">
        <v>271</v>
      </c>
      <c r="B901" s="11">
        <v>30</v>
      </c>
      <c r="C901" s="11" t="s">
        <v>136</v>
      </c>
      <c r="D901" s="11" t="s">
        <v>424</v>
      </c>
      <c r="E901" s="19">
        <v>69419.600000000006</v>
      </c>
      <c r="F901" t="s">
        <v>133</v>
      </c>
    </row>
    <row r="902" spans="1:6" x14ac:dyDescent="0.25">
      <c r="A902" s="11" t="s">
        <v>271</v>
      </c>
      <c r="B902" s="11">
        <v>30</v>
      </c>
      <c r="C902" s="11" t="s">
        <v>137</v>
      </c>
      <c r="D902" s="11" t="s">
        <v>334</v>
      </c>
      <c r="E902" s="19">
        <v>60000</v>
      </c>
      <c r="F902" t="s">
        <v>133</v>
      </c>
    </row>
    <row r="903" spans="1:6" x14ac:dyDescent="0.25">
      <c r="A903" s="11" t="s">
        <v>271</v>
      </c>
      <c r="B903" s="11">
        <v>30</v>
      </c>
      <c r="C903" s="11" t="s">
        <v>137</v>
      </c>
      <c r="D903" s="11" t="s">
        <v>197</v>
      </c>
      <c r="E903" s="19">
        <v>-64897.96</v>
      </c>
      <c r="F903" t="s">
        <v>133</v>
      </c>
    </row>
    <row r="904" spans="1:6" x14ac:dyDescent="0.25">
      <c r="A904" s="11" t="s">
        <v>271</v>
      </c>
      <c r="B904" s="11">
        <v>30</v>
      </c>
      <c r="C904" s="11" t="s">
        <v>137</v>
      </c>
      <c r="D904" s="11" t="s">
        <v>216</v>
      </c>
      <c r="E904" s="19">
        <v>-16020</v>
      </c>
      <c r="F904" t="s">
        <v>133</v>
      </c>
    </row>
    <row r="905" spans="1:6" x14ac:dyDescent="0.25">
      <c r="A905" s="11" t="s">
        <v>271</v>
      </c>
      <c r="B905" s="11">
        <v>30</v>
      </c>
      <c r="C905" s="11" t="s">
        <v>137</v>
      </c>
      <c r="D905" s="11" t="s">
        <v>424</v>
      </c>
      <c r="E905" s="19">
        <v>83303.520000000004</v>
      </c>
      <c r="F905" t="s">
        <v>133</v>
      </c>
    </row>
    <row r="906" spans="1:6" x14ac:dyDescent="0.25">
      <c r="A906" s="11" t="s">
        <v>271</v>
      </c>
      <c r="B906" s="11">
        <v>30</v>
      </c>
      <c r="C906" s="11" t="s">
        <v>139</v>
      </c>
      <c r="D906" s="11" t="s">
        <v>334</v>
      </c>
      <c r="E906" s="19">
        <v>80000</v>
      </c>
      <c r="F906" t="s">
        <v>133</v>
      </c>
    </row>
    <row r="907" spans="1:6" x14ac:dyDescent="0.25">
      <c r="A907" s="11" t="s">
        <v>271</v>
      </c>
      <c r="B907" s="11">
        <v>30</v>
      </c>
      <c r="C907" s="11" t="s">
        <v>139</v>
      </c>
      <c r="D907" s="11" t="s">
        <v>197</v>
      </c>
      <c r="E907" s="19">
        <v>-86530.61</v>
      </c>
      <c r="F907" t="s">
        <v>133</v>
      </c>
    </row>
    <row r="908" spans="1:6" x14ac:dyDescent="0.25">
      <c r="A908" s="11" t="s">
        <v>271</v>
      </c>
      <c r="B908" s="11">
        <v>30</v>
      </c>
      <c r="C908" s="11" t="s">
        <v>139</v>
      </c>
      <c r="D908" s="11" t="s">
        <v>216</v>
      </c>
      <c r="E908" s="19">
        <v>-21360</v>
      </c>
      <c r="F908" t="s">
        <v>133</v>
      </c>
    </row>
    <row r="909" spans="1:6" x14ac:dyDescent="0.25">
      <c r="A909" s="11" t="s">
        <v>271</v>
      </c>
      <c r="B909" s="11">
        <v>30</v>
      </c>
      <c r="C909" s="11" t="s">
        <v>139</v>
      </c>
      <c r="D909" s="11" t="s">
        <v>424</v>
      </c>
      <c r="E909" s="19">
        <v>111071.36</v>
      </c>
      <c r="F909" t="s">
        <v>133</v>
      </c>
    </row>
    <row r="910" spans="1:6" x14ac:dyDescent="0.25">
      <c r="A910" s="11" t="s">
        <v>271</v>
      </c>
      <c r="B910" s="11">
        <v>30</v>
      </c>
      <c r="C910" s="11" t="s">
        <v>72</v>
      </c>
      <c r="D910" s="11" t="s">
        <v>117</v>
      </c>
      <c r="E910" s="19">
        <v>-2226.94</v>
      </c>
      <c r="F910" t="s">
        <v>131</v>
      </c>
    </row>
    <row r="911" spans="1:6" x14ac:dyDescent="0.25">
      <c r="A911" s="11" t="s">
        <v>271</v>
      </c>
      <c r="B911" s="11">
        <v>30</v>
      </c>
      <c r="C911" s="11" t="s">
        <v>132</v>
      </c>
      <c r="D911" s="11" t="s">
        <v>117</v>
      </c>
      <c r="E911" s="19">
        <v>-1197.1600000000001</v>
      </c>
      <c r="F911" t="s">
        <v>133</v>
      </c>
    </row>
    <row r="912" spans="1:6" x14ac:dyDescent="0.25">
      <c r="A912" s="11" t="s">
        <v>271</v>
      </c>
      <c r="B912" s="11">
        <v>30</v>
      </c>
      <c r="C912" s="11" t="s">
        <v>134</v>
      </c>
      <c r="D912" s="11" t="s">
        <v>117</v>
      </c>
      <c r="E912" s="19">
        <v>-638.49</v>
      </c>
      <c r="F912" t="s">
        <v>133</v>
      </c>
    </row>
    <row r="913" spans="1:6" x14ac:dyDescent="0.25">
      <c r="A913" s="11" t="s">
        <v>271</v>
      </c>
      <c r="B913" s="11">
        <v>30</v>
      </c>
      <c r="C913" s="11" t="s">
        <v>135</v>
      </c>
      <c r="D913" s="11" t="s">
        <v>117</v>
      </c>
      <c r="E913" s="19">
        <v>-559.05999999999995</v>
      </c>
      <c r="F913" t="s">
        <v>133</v>
      </c>
    </row>
    <row r="914" spans="1:6" x14ac:dyDescent="0.25">
      <c r="A914" s="11" t="s">
        <v>271</v>
      </c>
      <c r="B914" s="11">
        <v>30</v>
      </c>
      <c r="C914" s="11" t="s">
        <v>136</v>
      </c>
      <c r="D914" s="11" t="s">
        <v>117</v>
      </c>
      <c r="E914" s="19">
        <v>-399.33</v>
      </c>
      <c r="F914" t="s">
        <v>133</v>
      </c>
    </row>
    <row r="915" spans="1:6" x14ac:dyDescent="0.25">
      <c r="A915" s="11" t="s">
        <v>271</v>
      </c>
      <c r="B915" s="11">
        <v>30</v>
      </c>
      <c r="C915" s="11" t="s">
        <v>137</v>
      </c>
      <c r="D915" s="11" t="s">
        <v>117</v>
      </c>
      <c r="E915" s="19">
        <v>-479.24</v>
      </c>
      <c r="F915" t="s">
        <v>133</v>
      </c>
    </row>
    <row r="916" spans="1:6" x14ac:dyDescent="0.25">
      <c r="A916" s="11" t="s">
        <v>271</v>
      </c>
      <c r="B916" s="11">
        <v>30</v>
      </c>
      <c r="C916" s="11" t="s">
        <v>139</v>
      </c>
      <c r="D916" s="11" t="s">
        <v>117</v>
      </c>
      <c r="E916" s="19">
        <v>-638.98</v>
      </c>
      <c r="F916" t="s">
        <v>133</v>
      </c>
    </row>
    <row r="917" spans="1:6" x14ac:dyDescent="0.25">
      <c r="A917" s="11" t="s">
        <v>271</v>
      </c>
      <c r="B917" s="11">
        <v>30</v>
      </c>
      <c r="C917" s="11" t="s">
        <v>422</v>
      </c>
      <c r="D917" s="11" t="s">
        <v>117</v>
      </c>
      <c r="E917" s="19">
        <v>6139.2</v>
      </c>
      <c r="F917" t="s">
        <v>423</v>
      </c>
    </row>
    <row r="918" spans="1:6" x14ac:dyDescent="0.25">
      <c r="A918" s="11" t="s">
        <v>272</v>
      </c>
      <c r="B918" s="11">
        <v>31</v>
      </c>
      <c r="C918" s="11" t="s">
        <v>72</v>
      </c>
      <c r="D918" s="11" t="s">
        <v>334</v>
      </c>
      <c r="E918" s="19">
        <v>14000</v>
      </c>
      <c r="F918" t="s">
        <v>131</v>
      </c>
    </row>
    <row r="919" spans="1:6" x14ac:dyDescent="0.25">
      <c r="A919" s="11" t="s">
        <v>272</v>
      </c>
      <c r="B919" s="11">
        <v>31</v>
      </c>
      <c r="C919" s="11" t="s">
        <v>72</v>
      </c>
      <c r="D919" s="11" t="s">
        <v>216</v>
      </c>
      <c r="E919" s="19">
        <v>-2670</v>
      </c>
      <c r="F919" t="s">
        <v>131</v>
      </c>
    </row>
    <row r="920" spans="1:6" x14ac:dyDescent="0.25">
      <c r="A920" s="11" t="s">
        <v>272</v>
      </c>
      <c r="B920" s="11">
        <v>31</v>
      </c>
      <c r="C920" s="11" t="s">
        <v>72</v>
      </c>
      <c r="D920" s="11" t="s">
        <v>424</v>
      </c>
      <c r="E920" s="19">
        <v>14300.44</v>
      </c>
      <c r="F920" t="s">
        <v>131</v>
      </c>
    </row>
    <row r="921" spans="1:6" x14ac:dyDescent="0.25">
      <c r="A921" s="11" t="s">
        <v>272</v>
      </c>
      <c r="B921" s="11">
        <v>31</v>
      </c>
      <c r="C921" s="11" t="s">
        <v>72</v>
      </c>
      <c r="D921" s="11" t="s">
        <v>421</v>
      </c>
      <c r="E921" s="19">
        <v>120000</v>
      </c>
      <c r="F921" t="s">
        <v>131</v>
      </c>
    </row>
    <row r="922" spans="1:6" x14ac:dyDescent="0.25">
      <c r="A922" s="11" t="s">
        <v>272</v>
      </c>
      <c r="B922" s="11">
        <v>31</v>
      </c>
      <c r="C922" s="11" t="s">
        <v>132</v>
      </c>
      <c r="D922" s="11" t="s">
        <v>334</v>
      </c>
      <c r="E922" s="19">
        <v>210000</v>
      </c>
      <c r="F922" t="s">
        <v>133</v>
      </c>
    </row>
    <row r="923" spans="1:6" x14ac:dyDescent="0.25">
      <c r="A923" s="11" t="s">
        <v>272</v>
      </c>
      <c r="B923" s="11">
        <v>31</v>
      </c>
      <c r="C923" s="11" t="s">
        <v>132</v>
      </c>
      <c r="D923" s="11" t="s">
        <v>197</v>
      </c>
      <c r="E923" s="19">
        <v>-162244.9</v>
      </c>
      <c r="F923" t="s">
        <v>133</v>
      </c>
    </row>
    <row r="924" spans="1:6" x14ac:dyDescent="0.25">
      <c r="A924" s="11" t="s">
        <v>272</v>
      </c>
      <c r="B924" s="11">
        <v>31</v>
      </c>
      <c r="C924" s="11" t="s">
        <v>132</v>
      </c>
      <c r="D924" s="11" t="s">
        <v>216</v>
      </c>
      <c r="E924" s="19">
        <v>-40050</v>
      </c>
      <c r="F924" t="s">
        <v>133</v>
      </c>
    </row>
    <row r="925" spans="1:6" x14ac:dyDescent="0.25">
      <c r="A925" s="11" t="s">
        <v>272</v>
      </c>
      <c r="B925" s="11">
        <v>31</v>
      </c>
      <c r="C925" s="11" t="s">
        <v>132</v>
      </c>
      <c r="D925" s="11" t="s">
        <v>424</v>
      </c>
      <c r="E925" s="19">
        <v>214506.56</v>
      </c>
      <c r="F925" t="s">
        <v>133</v>
      </c>
    </row>
    <row r="926" spans="1:6" x14ac:dyDescent="0.25">
      <c r="A926" s="11" t="s">
        <v>272</v>
      </c>
      <c r="B926" s="11">
        <v>31</v>
      </c>
      <c r="C926" s="11" t="s">
        <v>132</v>
      </c>
      <c r="D926" s="11" t="s">
        <v>421</v>
      </c>
      <c r="E926" s="19">
        <v>1800000</v>
      </c>
      <c r="F926" t="s">
        <v>133</v>
      </c>
    </row>
    <row r="927" spans="1:6" x14ac:dyDescent="0.25">
      <c r="A927" s="11" t="s">
        <v>272</v>
      </c>
      <c r="B927" s="11">
        <v>31</v>
      </c>
      <c r="C927" s="11" t="s">
        <v>134</v>
      </c>
      <c r="D927" s="11" t="s">
        <v>334</v>
      </c>
      <c r="E927" s="19">
        <v>112000</v>
      </c>
      <c r="F927" t="s">
        <v>133</v>
      </c>
    </row>
    <row r="928" spans="1:6" x14ac:dyDescent="0.25">
      <c r="A928" s="11" t="s">
        <v>272</v>
      </c>
      <c r="B928" s="11">
        <v>31</v>
      </c>
      <c r="C928" s="11" t="s">
        <v>134</v>
      </c>
      <c r="D928" s="11" t="s">
        <v>197</v>
      </c>
      <c r="E928" s="19">
        <v>-86530.61</v>
      </c>
      <c r="F928" t="s">
        <v>133</v>
      </c>
    </row>
    <row r="929" spans="1:6" x14ac:dyDescent="0.25">
      <c r="A929" s="11" t="s">
        <v>272</v>
      </c>
      <c r="B929" s="11">
        <v>31</v>
      </c>
      <c r="C929" s="11" t="s">
        <v>134</v>
      </c>
      <c r="D929" s="11" t="s">
        <v>216</v>
      </c>
      <c r="E929" s="19">
        <v>-21360</v>
      </c>
      <c r="F929" t="s">
        <v>133</v>
      </c>
    </row>
    <row r="930" spans="1:6" x14ac:dyDescent="0.25">
      <c r="A930" s="11" t="s">
        <v>272</v>
      </c>
      <c r="B930" s="11">
        <v>31</v>
      </c>
      <c r="C930" s="11" t="s">
        <v>134</v>
      </c>
      <c r="D930" s="11" t="s">
        <v>424</v>
      </c>
      <c r="E930" s="19">
        <v>114403.5</v>
      </c>
      <c r="F930" t="s">
        <v>133</v>
      </c>
    </row>
    <row r="931" spans="1:6" x14ac:dyDescent="0.25">
      <c r="A931" s="11" t="s">
        <v>272</v>
      </c>
      <c r="B931" s="11">
        <v>31</v>
      </c>
      <c r="C931" s="11" t="s">
        <v>134</v>
      </c>
      <c r="D931" s="11" t="s">
        <v>421</v>
      </c>
      <c r="E931" s="19">
        <v>960000</v>
      </c>
      <c r="F931" t="s">
        <v>133</v>
      </c>
    </row>
    <row r="932" spans="1:6" x14ac:dyDescent="0.25">
      <c r="A932" s="11" t="s">
        <v>272</v>
      </c>
      <c r="B932" s="11">
        <v>31</v>
      </c>
      <c r="C932" s="11" t="s">
        <v>135</v>
      </c>
      <c r="D932" s="11" t="s">
        <v>334</v>
      </c>
      <c r="E932" s="19">
        <v>98000</v>
      </c>
      <c r="F932" t="s">
        <v>133</v>
      </c>
    </row>
    <row r="933" spans="1:6" x14ac:dyDescent="0.25">
      <c r="A933" s="11" t="s">
        <v>272</v>
      </c>
      <c r="B933" s="11">
        <v>31</v>
      </c>
      <c r="C933" s="11" t="s">
        <v>135</v>
      </c>
      <c r="D933" s="11" t="s">
        <v>197</v>
      </c>
      <c r="E933" s="19">
        <v>-75714.289999999994</v>
      </c>
      <c r="F933" t="s">
        <v>133</v>
      </c>
    </row>
    <row r="934" spans="1:6" x14ac:dyDescent="0.25">
      <c r="A934" s="11" t="s">
        <v>272</v>
      </c>
      <c r="B934" s="11">
        <v>31</v>
      </c>
      <c r="C934" s="11" t="s">
        <v>135</v>
      </c>
      <c r="D934" s="11" t="s">
        <v>216</v>
      </c>
      <c r="E934" s="19">
        <v>-18690</v>
      </c>
      <c r="F934" t="s">
        <v>133</v>
      </c>
    </row>
    <row r="935" spans="1:6" x14ac:dyDescent="0.25">
      <c r="A935" s="11" t="s">
        <v>272</v>
      </c>
      <c r="B935" s="11">
        <v>31</v>
      </c>
      <c r="C935" s="11" t="s">
        <v>135</v>
      </c>
      <c r="D935" s="11" t="s">
        <v>424</v>
      </c>
      <c r="E935" s="19">
        <v>100103.06</v>
      </c>
      <c r="F935" t="s">
        <v>133</v>
      </c>
    </row>
    <row r="936" spans="1:6" x14ac:dyDescent="0.25">
      <c r="A936" s="11" t="s">
        <v>272</v>
      </c>
      <c r="B936" s="11">
        <v>31</v>
      </c>
      <c r="C936" s="11" t="s">
        <v>135</v>
      </c>
      <c r="D936" s="11" t="s">
        <v>421</v>
      </c>
      <c r="E936" s="19">
        <v>840000</v>
      </c>
      <c r="F936" t="s">
        <v>133</v>
      </c>
    </row>
    <row r="937" spans="1:6" x14ac:dyDescent="0.25">
      <c r="A937" s="11" t="s">
        <v>272</v>
      </c>
      <c r="B937" s="11">
        <v>31</v>
      </c>
      <c r="C937" s="11" t="s">
        <v>136</v>
      </c>
      <c r="D937" s="11" t="s">
        <v>334</v>
      </c>
      <c r="E937" s="19">
        <v>70000</v>
      </c>
      <c r="F937" t="s">
        <v>133</v>
      </c>
    </row>
    <row r="938" spans="1:6" x14ac:dyDescent="0.25">
      <c r="A938" s="11" t="s">
        <v>272</v>
      </c>
      <c r="B938" s="11">
        <v>31</v>
      </c>
      <c r="C938" s="11" t="s">
        <v>136</v>
      </c>
      <c r="D938" s="11" t="s">
        <v>197</v>
      </c>
      <c r="E938" s="19">
        <v>-54081.63</v>
      </c>
      <c r="F938" t="s">
        <v>133</v>
      </c>
    </row>
    <row r="939" spans="1:6" x14ac:dyDescent="0.25">
      <c r="A939" s="11" t="s">
        <v>272</v>
      </c>
      <c r="B939" s="11">
        <v>31</v>
      </c>
      <c r="C939" s="11" t="s">
        <v>136</v>
      </c>
      <c r="D939" s="11" t="s">
        <v>216</v>
      </c>
      <c r="E939" s="19">
        <v>-13350</v>
      </c>
      <c r="F939" t="s">
        <v>133</v>
      </c>
    </row>
    <row r="940" spans="1:6" x14ac:dyDescent="0.25">
      <c r="A940" s="11" t="s">
        <v>272</v>
      </c>
      <c r="B940" s="11">
        <v>31</v>
      </c>
      <c r="C940" s="11" t="s">
        <v>136</v>
      </c>
      <c r="D940" s="11" t="s">
        <v>424</v>
      </c>
      <c r="E940" s="19">
        <v>71502.19</v>
      </c>
      <c r="F940" t="s">
        <v>133</v>
      </c>
    </row>
    <row r="941" spans="1:6" x14ac:dyDescent="0.25">
      <c r="A941" s="11" t="s">
        <v>272</v>
      </c>
      <c r="B941" s="11">
        <v>31</v>
      </c>
      <c r="C941" s="11" t="s">
        <v>136</v>
      </c>
      <c r="D941" s="11" t="s">
        <v>421</v>
      </c>
      <c r="E941" s="19">
        <v>600000</v>
      </c>
      <c r="F941" t="s">
        <v>133</v>
      </c>
    </row>
    <row r="942" spans="1:6" x14ac:dyDescent="0.25">
      <c r="A942" s="11" t="s">
        <v>272</v>
      </c>
      <c r="B942" s="11">
        <v>31</v>
      </c>
      <c r="C942" s="11" t="s">
        <v>137</v>
      </c>
      <c r="D942" s="11" t="s">
        <v>334</v>
      </c>
      <c r="E942" s="19">
        <v>84000</v>
      </c>
      <c r="F942" t="s">
        <v>133</v>
      </c>
    </row>
    <row r="943" spans="1:6" x14ac:dyDescent="0.25">
      <c r="A943" s="11" t="s">
        <v>272</v>
      </c>
      <c r="B943" s="11">
        <v>31</v>
      </c>
      <c r="C943" s="11" t="s">
        <v>137</v>
      </c>
      <c r="D943" s="11" t="s">
        <v>197</v>
      </c>
      <c r="E943" s="19">
        <v>-64897.96</v>
      </c>
      <c r="F943" t="s">
        <v>133</v>
      </c>
    </row>
    <row r="944" spans="1:6" x14ac:dyDescent="0.25">
      <c r="A944" s="11" t="s">
        <v>272</v>
      </c>
      <c r="B944" s="11">
        <v>31</v>
      </c>
      <c r="C944" s="11" t="s">
        <v>137</v>
      </c>
      <c r="D944" s="11" t="s">
        <v>216</v>
      </c>
      <c r="E944" s="19">
        <v>-16020</v>
      </c>
      <c r="F944" t="s">
        <v>133</v>
      </c>
    </row>
    <row r="945" spans="1:6" x14ac:dyDescent="0.25">
      <c r="A945" s="11" t="s">
        <v>272</v>
      </c>
      <c r="B945" s="11">
        <v>31</v>
      </c>
      <c r="C945" s="11" t="s">
        <v>137</v>
      </c>
      <c r="D945" s="11" t="s">
        <v>424</v>
      </c>
      <c r="E945" s="19">
        <v>85802.63</v>
      </c>
      <c r="F945" t="s">
        <v>133</v>
      </c>
    </row>
    <row r="946" spans="1:6" x14ac:dyDescent="0.25">
      <c r="A946" s="11" t="s">
        <v>272</v>
      </c>
      <c r="B946" s="11">
        <v>31</v>
      </c>
      <c r="C946" s="11" t="s">
        <v>137</v>
      </c>
      <c r="D946" s="11" t="s">
        <v>421</v>
      </c>
      <c r="E946" s="19">
        <v>720000</v>
      </c>
      <c r="F946" t="s">
        <v>133</v>
      </c>
    </row>
    <row r="947" spans="1:6" x14ac:dyDescent="0.25">
      <c r="A947" s="11" t="s">
        <v>272</v>
      </c>
      <c r="B947" s="11">
        <v>31</v>
      </c>
      <c r="C947" s="11" t="s">
        <v>139</v>
      </c>
      <c r="D947" s="11" t="s">
        <v>334</v>
      </c>
      <c r="E947" s="19">
        <v>112000</v>
      </c>
      <c r="F947" t="s">
        <v>133</v>
      </c>
    </row>
    <row r="948" spans="1:6" x14ac:dyDescent="0.25">
      <c r="A948" s="11" t="s">
        <v>272</v>
      </c>
      <c r="B948" s="11">
        <v>31</v>
      </c>
      <c r="C948" s="11" t="s">
        <v>139</v>
      </c>
      <c r="D948" s="11" t="s">
        <v>197</v>
      </c>
      <c r="E948" s="19">
        <v>-86530.61</v>
      </c>
      <c r="F948" t="s">
        <v>133</v>
      </c>
    </row>
    <row r="949" spans="1:6" x14ac:dyDescent="0.25">
      <c r="A949" s="11" t="s">
        <v>272</v>
      </c>
      <c r="B949" s="11">
        <v>31</v>
      </c>
      <c r="C949" s="11" t="s">
        <v>139</v>
      </c>
      <c r="D949" s="11" t="s">
        <v>216</v>
      </c>
      <c r="E949" s="19">
        <v>-21360</v>
      </c>
      <c r="F949" t="s">
        <v>133</v>
      </c>
    </row>
    <row r="950" spans="1:6" x14ac:dyDescent="0.25">
      <c r="A950" s="11" t="s">
        <v>272</v>
      </c>
      <c r="B950" s="11">
        <v>31</v>
      </c>
      <c r="C950" s="11" t="s">
        <v>139</v>
      </c>
      <c r="D950" s="11" t="s">
        <v>424</v>
      </c>
      <c r="E950" s="19">
        <v>114403.5</v>
      </c>
      <c r="F950" t="s">
        <v>133</v>
      </c>
    </row>
    <row r="951" spans="1:6" x14ac:dyDescent="0.25">
      <c r="A951" s="11" t="s">
        <v>272</v>
      </c>
      <c r="B951" s="11">
        <v>31</v>
      </c>
      <c r="C951" s="11" t="s">
        <v>139</v>
      </c>
      <c r="D951" s="11" t="s">
        <v>421</v>
      </c>
      <c r="E951" s="19">
        <v>960000</v>
      </c>
      <c r="F951" t="s">
        <v>133</v>
      </c>
    </row>
    <row r="952" spans="1:6" x14ac:dyDescent="0.25">
      <c r="A952" s="11" t="s">
        <v>272</v>
      </c>
      <c r="B952" s="11">
        <v>31</v>
      </c>
      <c r="C952" s="11" t="s">
        <v>72</v>
      </c>
      <c r="D952" s="11" t="s">
        <v>117</v>
      </c>
      <c r="E952" s="19">
        <v>-26353.77</v>
      </c>
      <c r="F952" t="s">
        <v>131</v>
      </c>
    </row>
    <row r="953" spans="1:6" x14ac:dyDescent="0.25">
      <c r="A953" s="11" t="s">
        <v>272</v>
      </c>
      <c r="B953" s="11">
        <v>31</v>
      </c>
      <c r="C953" s="11" t="s">
        <v>132</v>
      </c>
      <c r="D953" s="11" t="s">
        <v>117</v>
      </c>
      <c r="E953" s="19">
        <v>-362346.4</v>
      </c>
      <c r="F953" t="s">
        <v>133</v>
      </c>
    </row>
    <row r="954" spans="1:6" x14ac:dyDescent="0.25">
      <c r="A954" s="11" t="s">
        <v>272</v>
      </c>
      <c r="B954" s="11">
        <v>31</v>
      </c>
      <c r="C954" s="11" t="s">
        <v>134</v>
      </c>
      <c r="D954" s="11" t="s">
        <v>117</v>
      </c>
      <c r="E954" s="19">
        <v>-193251.41</v>
      </c>
      <c r="F954" t="s">
        <v>133</v>
      </c>
    </row>
    <row r="955" spans="1:6" x14ac:dyDescent="0.25">
      <c r="A955" s="11" t="s">
        <v>272</v>
      </c>
      <c r="B955" s="11">
        <v>31</v>
      </c>
      <c r="C955" s="11" t="s">
        <v>135</v>
      </c>
      <c r="D955" s="11" t="s">
        <v>117</v>
      </c>
      <c r="E955" s="19">
        <v>-169167.52</v>
      </c>
      <c r="F955" t="s">
        <v>133</v>
      </c>
    </row>
    <row r="956" spans="1:6" x14ac:dyDescent="0.25">
      <c r="A956" s="11" t="s">
        <v>272</v>
      </c>
      <c r="B956" s="11">
        <v>31</v>
      </c>
      <c r="C956" s="11" t="s">
        <v>136</v>
      </c>
      <c r="D956" s="11" t="s">
        <v>117</v>
      </c>
      <c r="E956" s="19">
        <v>-120833.95</v>
      </c>
      <c r="F956" t="s">
        <v>133</v>
      </c>
    </row>
    <row r="957" spans="1:6" x14ac:dyDescent="0.25">
      <c r="A957" s="11" t="s">
        <v>272</v>
      </c>
      <c r="B957" s="11">
        <v>31</v>
      </c>
      <c r="C957" s="11" t="s">
        <v>137</v>
      </c>
      <c r="D957" s="11" t="s">
        <v>117</v>
      </c>
      <c r="E957" s="19">
        <v>-145007.70000000001</v>
      </c>
      <c r="F957" t="s">
        <v>133</v>
      </c>
    </row>
    <row r="958" spans="1:6" x14ac:dyDescent="0.25">
      <c r="A958" s="11" t="s">
        <v>272</v>
      </c>
      <c r="B958" s="11">
        <v>31</v>
      </c>
      <c r="C958" s="11" t="s">
        <v>139</v>
      </c>
      <c r="D958" s="11" t="s">
        <v>117</v>
      </c>
      <c r="E958" s="19">
        <v>-193343.62</v>
      </c>
      <c r="F958" t="s">
        <v>133</v>
      </c>
    </row>
    <row r="959" spans="1:6" x14ac:dyDescent="0.25">
      <c r="A959" s="11" t="s">
        <v>272</v>
      </c>
      <c r="B959" s="11">
        <v>31</v>
      </c>
      <c r="C959" s="11" t="s">
        <v>422</v>
      </c>
      <c r="D959" s="11" t="s">
        <v>117</v>
      </c>
      <c r="E959" s="19">
        <v>1210304.3700000001</v>
      </c>
      <c r="F959" t="s">
        <v>423</v>
      </c>
    </row>
    <row r="960" spans="1:6" x14ac:dyDescent="0.25">
      <c r="A960" s="11" t="s">
        <v>273</v>
      </c>
      <c r="B960" s="11">
        <v>32</v>
      </c>
      <c r="C960" s="11" t="s">
        <v>72</v>
      </c>
      <c r="D960" s="11" t="s">
        <v>334</v>
      </c>
      <c r="E960" s="19">
        <v>14000</v>
      </c>
      <c r="F960" t="s">
        <v>131</v>
      </c>
    </row>
    <row r="961" spans="1:6" x14ac:dyDescent="0.25">
      <c r="A961" s="11" t="s">
        <v>273</v>
      </c>
      <c r="B961" s="11">
        <v>32</v>
      </c>
      <c r="C961" s="11" t="s">
        <v>72</v>
      </c>
      <c r="D961" s="11" t="s">
        <v>216</v>
      </c>
      <c r="E961" s="19">
        <v>-2670</v>
      </c>
      <c r="F961" t="s">
        <v>131</v>
      </c>
    </row>
    <row r="962" spans="1:6" x14ac:dyDescent="0.25">
      <c r="A962" s="11" t="s">
        <v>273</v>
      </c>
      <c r="B962" s="11">
        <v>32</v>
      </c>
      <c r="C962" s="11" t="s">
        <v>72</v>
      </c>
      <c r="D962" s="11" t="s">
        <v>424</v>
      </c>
      <c r="E962" s="19">
        <v>14729.45</v>
      </c>
      <c r="F962" t="s">
        <v>131</v>
      </c>
    </row>
    <row r="963" spans="1:6" x14ac:dyDescent="0.25">
      <c r="A963" s="11" t="s">
        <v>273</v>
      </c>
      <c r="B963" s="11">
        <v>32</v>
      </c>
      <c r="C963" s="11" t="s">
        <v>72</v>
      </c>
      <c r="D963" s="11" t="s">
        <v>421</v>
      </c>
      <c r="E963" s="19">
        <v>120000</v>
      </c>
      <c r="F963" t="s">
        <v>131</v>
      </c>
    </row>
    <row r="964" spans="1:6" x14ac:dyDescent="0.25">
      <c r="A964" s="11" t="s">
        <v>273</v>
      </c>
      <c r="B964" s="11">
        <v>32</v>
      </c>
      <c r="C964" s="11" t="s">
        <v>132</v>
      </c>
      <c r="D964" s="11" t="s">
        <v>334</v>
      </c>
      <c r="E964" s="19">
        <v>210000</v>
      </c>
      <c r="F964" t="s">
        <v>133</v>
      </c>
    </row>
    <row r="965" spans="1:6" x14ac:dyDescent="0.25">
      <c r="A965" s="11" t="s">
        <v>273</v>
      </c>
      <c r="B965" s="11">
        <v>32</v>
      </c>
      <c r="C965" s="11" t="s">
        <v>132</v>
      </c>
      <c r="D965" s="11" t="s">
        <v>197</v>
      </c>
      <c r="E965" s="19">
        <v>-162244.9</v>
      </c>
      <c r="F965" t="s">
        <v>133</v>
      </c>
    </row>
    <row r="966" spans="1:6" x14ac:dyDescent="0.25">
      <c r="A966" s="11" t="s">
        <v>273</v>
      </c>
      <c r="B966" s="11">
        <v>32</v>
      </c>
      <c r="C966" s="11" t="s">
        <v>132</v>
      </c>
      <c r="D966" s="11" t="s">
        <v>216</v>
      </c>
      <c r="E966" s="19">
        <v>-40050</v>
      </c>
      <c r="F966" t="s">
        <v>133</v>
      </c>
    </row>
    <row r="967" spans="1:6" x14ac:dyDescent="0.25">
      <c r="A967" s="11" t="s">
        <v>273</v>
      </c>
      <c r="B967" s="11">
        <v>32</v>
      </c>
      <c r="C967" s="11" t="s">
        <v>132</v>
      </c>
      <c r="D967" s="11" t="s">
        <v>424</v>
      </c>
      <c r="E967" s="19">
        <v>220941.76</v>
      </c>
      <c r="F967" t="s">
        <v>133</v>
      </c>
    </row>
    <row r="968" spans="1:6" x14ac:dyDescent="0.25">
      <c r="A968" s="11" t="s">
        <v>273</v>
      </c>
      <c r="B968" s="11">
        <v>32</v>
      </c>
      <c r="C968" s="11" t="s">
        <v>132</v>
      </c>
      <c r="D968" s="11" t="s">
        <v>421</v>
      </c>
      <c r="E968" s="19">
        <v>1800000</v>
      </c>
      <c r="F968" t="s">
        <v>133</v>
      </c>
    </row>
    <row r="969" spans="1:6" x14ac:dyDescent="0.25">
      <c r="A969" s="11" t="s">
        <v>273</v>
      </c>
      <c r="B969" s="11">
        <v>32</v>
      </c>
      <c r="C969" s="11" t="s">
        <v>134</v>
      </c>
      <c r="D969" s="11" t="s">
        <v>334</v>
      </c>
      <c r="E969" s="19">
        <v>112000</v>
      </c>
      <c r="F969" t="s">
        <v>133</v>
      </c>
    </row>
    <row r="970" spans="1:6" x14ac:dyDescent="0.25">
      <c r="A970" s="11" t="s">
        <v>273</v>
      </c>
      <c r="B970" s="11">
        <v>32</v>
      </c>
      <c r="C970" s="11" t="s">
        <v>134</v>
      </c>
      <c r="D970" s="11" t="s">
        <v>197</v>
      </c>
      <c r="E970" s="19">
        <v>-86530.61</v>
      </c>
      <c r="F970" t="s">
        <v>133</v>
      </c>
    </row>
    <row r="971" spans="1:6" x14ac:dyDescent="0.25">
      <c r="A971" s="11" t="s">
        <v>273</v>
      </c>
      <c r="B971" s="11">
        <v>32</v>
      </c>
      <c r="C971" s="11" t="s">
        <v>134</v>
      </c>
      <c r="D971" s="11" t="s">
        <v>216</v>
      </c>
      <c r="E971" s="19">
        <v>-21360</v>
      </c>
      <c r="F971" t="s">
        <v>133</v>
      </c>
    </row>
    <row r="972" spans="1:6" x14ac:dyDescent="0.25">
      <c r="A972" s="11" t="s">
        <v>273</v>
      </c>
      <c r="B972" s="11">
        <v>32</v>
      </c>
      <c r="C972" s="11" t="s">
        <v>134</v>
      </c>
      <c r="D972" s="11" t="s">
        <v>424</v>
      </c>
      <c r="E972" s="19">
        <v>117835.61</v>
      </c>
      <c r="F972" t="s">
        <v>133</v>
      </c>
    </row>
    <row r="973" spans="1:6" x14ac:dyDescent="0.25">
      <c r="A973" s="11" t="s">
        <v>273</v>
      </c>
      <c r="B973" s="11">
        <v>32</v>
      </c>
      <c r="C973" s="11" t="s">
        <v>134</v>
      </c>
      <c r="D973" s="11" t="s">
        <v>421</v>
      </c>
      <c r="E973" s="19">
        <v>960000</v>
      </c>
      <c r="F973" t="s">
        <v>133</v>
      </c>
    </row>
    <row r="974" spans="1:6" x14ac:dyDescent="0.25">
      <c r="A974" s="11" t="s">
        <v>273</v>
      </c>
      <c r="B974" s="11">
        <v>32</v>
      </c>
      <c r="C974" s="11" t="s">
        <v>135</v>
      </c>
      <c r="D974" s="11" t="s">
        <v>334</v>
      </c>
      <c r="E974" s="19">
        <v>98000</v>
      </c>
      <c r="F974" t="s">
        <v>133</v>
      </c>
    </row>
    <row r="975" spans="1:6" x14ac:dyDescent="0.25">
      <c r="A975" s="11" t="s">
        <v>273</v>
      </c>
      <c r="B975" s="11">
        <v>32</v>
      </c>
      <c r="C975" s="11" t="s">
        <v>135</v>
      </c>
      <c r="D975" s="11" t="s">
        <v>197</v>
      </c>
      <c r="E975" s="19">
        <v>-75714.289999999994</v>
      </c>
      <c r="F975" t="s">
        <v>133</v>
      </c>
    </row>
    <row r="976" spans="1:6" x14ac:dyDescent="0.25">
      <c r="A976" s="11" t="s">
        <v>273</v>
      </c>
      <c r="B976" s="11">
        <v>32</v>
      </c>
      <c r="C976" s="11" t="s">
        <v>135</v>
      </c>
      <c r="D976" s="11" t="s">
        <v>216</v>
      </c>
      <c r="E976" s="19">
        <v>-18690</v>
      </c>
      <c r="F976" t="s">
        <v>133</v>
      </c>
    </row>
    <row r="977" spans="1:6" x14ac:dyDescent="0.25">
      <c r="A977" s="11" t="s">
        <v>273</v>
      </c>
      <c r="B977" s="11">
        <v>32</v>
      </c>
      <c r="C977" s="11" t="s">
        <v>135</v>
      </c>
      <c r="D977" s="11" t="s">
        <v>424</v>
      </c>
      <c r="E977" s="19">
        <v>103106.16</v>
      </c>
      <c r="F977" t="s">
        <v>133</v>
      </c>
    </row>
    <row r="978" spans="1:6" x14ac:dyDescent="0.25">
      <c r="A978" s="11" t="s">
        <v>273</v>
      </c>
      <c r="B978" s="11">
        <v>32</v>
      </c>
      <c r="C978" s="11" t="s">
        <v>135</v>
      </c>
      <c r="D978" s="11" t="s">
        <v>421</v>
      </c>
      <c r="E978" s="19">
        <v>840000</v>
      </c>
      <c r="F978" t="s">
        <v>133</v>
      </c>
    </row>
    <row r="979" spans="1:6" x14ac:dyDescent="0.25">
      <c r="A979" s="11" t="s">
        <v>273</v>
      </c>
      <c r="B979" s="11">
        <v>32</v>
      </c>
      <c r="C979" s="11" t="s">
        <v>136</v>
      </c>
      <c r="D979" s="11" t="s">
        <v>334</v>
      </c>
      <c r="E979" s="19">
        <v>70000</v>
      </c>
      <c r="F979" t="s">
        <v>133</v>
      </c>
    </row>
    <row r="980" spans="1:6" x14ac:dyDescent="0.25">
      <c r="A980" s="11" t="s">
        <v>273</v>
      </c>
      <c r="B980" s="11">
        <v>32</v>
      </c>
      <c r="C980" s="11" t="s">
        <v>136</v>
      </c>
      <c r="D980" s="11" t="s">
        <v>197</v>
      </c>
      <c r="E980" s="19">
        <v>-54081.63</v>
      </c>
      <c r="F980" t="s">
        <v>133</v>
      </c>
    </row>
    <row r="981" spans="1:6" x14ac:dyDescent="0.25">
      <c r="A981" s="11" t="s">
        <v>273</v>
      </c>
      <c r="B981" s="11">
        <v>32</v>
      </c>
      <c r="C981" s="11" t="s">
        <v>136</v>
      </c>
      <c r="D981" s="11" t="s">
        <v>216</v>
      </c>
      <c r="E981" s="19">
        <v>-13350</v>
      </c>
      <c r="F981" t="s">
        <v>133</v>
      </c>
    </row>
    <row r="982" spans="1:6" x14ac:dyDescent="0.25">
      <c r="A982" s="11" t="s">
        <v>273</v>
      </c>
      <c r="B982" s="11">
        <v>32</v>
      </c>
      <c r="C982" s="11" t="s">
        <v>136</v>
      </c>
      <c r="D982" s="11" t="s">
        <v>424</v>
      </c>
      <c r="E982" s="19">
        <v>73647.25</v>
      </c>
      <c r="F982" t="s">
        <v>133</v>
      </c>
    </row>
    <row r="983" spans="1:6" x14ac:dyDescent="0.25">
      <c r="A983" s="11" t="s">
        <v>273</v>
      </c>
      <c r="B983" s="11">
        <v>32</v>
      </c>
      <c r="C983" s="11" t="s">
        <v>136</v>
      </c>
      <c r="D983" s="11" t="s">
        <v>421</v>
      </c>
      <c r="E983" s="19">
        <v>600000</v>
      </c>
      <c r="F983" t="s">
        <v>133</v>
      </c>
    </row>
    <row r="984" spans="1:6" x14ac:dyDescent="0.25">
      <c r="A984" s="11" t="s">
        <v>273</v>
      </c>
      <c r="B984" s="11">
        <v>32</v>
      </c>
      <c r="C984" s="11" t="s">
        <v>137</v>
      </c>
      <c r="D984" s="11" t="s">
        <v>334</v>
      </c>
      <c r="E984" s="19">
        <v>84000</v>
      </c>
      <c r="F984" t="s">
        <v>133</v>
      </c>
    </row>
    <row r="985" spans="1:6" x14ac:dyDescent="0.25">
      <c r="A985" s="11" t="s">
        <v>273</v>
      </c>
      <c r="B985" s="11">
        <v>32</v>
      </c>
      <c r="C985" s="11" t="s">
        <v>137</v>
      </c>
      <c r="D985" s="11" t="s">
        <v>197</v>
      </c>
      <c r="E985" s="19">
        <v>-64897.96</v>
      </c>
      <c r="F985" t="s">
        <v>133</v>
      </c>
    </row>
    <row r="986" spans="1:6" x14ac:dyDescent="0.25">
      <c r="A986" s="11" t="s">
        <v>273</v>
      </c>
      <c r="B986" s="11">
        <v>32</v>
      </c>
      <c r="C986" s="11" t="s">
        <v>137</v>
      </c>
      <c r="D986" s="11" t="s">
        <v>216</v>
      </c>
      <c r="E986" s="19">
        <v>-16020</v>
      </c>
      <c r="F986" t="s">
        <v>133</v>
      </c>
    </row>
    <row r="987" spans="1:6" x14ac:dyDescent="0.25">
      <c r="A987" s="11" t="s">
        <v>273</v>
      </c>
      <c r="B987" s="11">
        <v>32</v>
      </c>
      <c r="C987" s="11" t="s">
        <v>137</v>
      </c>
      <c r="D987" s="11" t="s">
        <v>424</v>
      </c>
      <c r="E987" s="19">
        <v>88376.7</v>
      </c>
      <c r="F987" t="s">
        <v>133</v>
      </c>
    </row>
    <row r="988" spans="1:6" x14ac:dyDescent="0.25">
      <c r="A988" s="11" t="s">
        <v>273</v>
      </c>
      <c r="B988" s="11">
        <v>32</v>
      </c>
      <c r="C988" s="11" t="s">
        <v>137</v>
      </c>
      <c r="D988" s="11" t="s">
        <v>421</v>
      </c>
      <c r="E988" s="19">
        <v>720000</v>
      </c>
      <c r="F988" t="s">
        <v>133</v>
      </c>
    </row>
    <row r="989" spans="1:6" x14ac:dyDescent="0.25">
      <c r="A989" s="11" t="s">
        <v>273</v>
      </c>
      <c r="B989" s="11">
        <v>32</v>
      </c>
      <c r="C989" s="11" t="s">
        <v>139</v>
      </c>
      <c r="D989" s="11" t="s">
        <v>334</v>
      </c>
      <c r="E989" s="19">
        <v>112000</v>
      </c>
      <c r="F989" t="s">
        <v>133</v>
      </c>
    </row>
    <row r="990" spans="1:6" x14ac:dyDescent="0.25">
      <c r="A990" s="11" t="s">
        <v>273</v>
      </c>
      <c r="B990" s="11">
        <v>32</v>
      </c>
      <c r="C990" s="11" t="s">
        <v>139</v>
      </c>
      <c r="D990" s="11" t="s">
        <v>197</v>
      </c>
      <c r="E990" s="19">
        <v>-86530.61</v>
      </c>
      <c r="F990" t="s">
        <v>133</v>
      </c>
    </row>
    <row r="991" spans="1:6" x14ac:dyDescent="0.25">
      <c r="A991" s="11" t="s">
        <v>273</v>
      </c>
      <c r="B991" s="11">
        <v>32</v>
      </c>
      <c r="C991" s="11" t="s">
        <v>139</v>
      </c>
      <c r="D991" s="11" t="s">
        <v>216</v>
      </c>
      <c r="E991" s="19">
        <v>-21360</v>
      </c>
      <c r="F991" t="s">
        <v>133</v>
      </c>
    </row>
    <row r="992" spans="1:6" x14ac:dyDescent="0.25">
      <c r="A992" s="11" t="s">
        <v>273</v>
      </c>
      <c r="B992" s="11">
        <v>32</v>
      </c>
      <c r="C992" s="11" t="s">
        <v>139</v>
      </c>
      <c r="D992" s="11" t="s">
        <v>424</v>
      </c>
      <c r="E992" s="19">
        <v>117835.61</v>
      </c>
      <c r="F992" t="s">
        <v>133</v>
      </c>
    </row>
    <row r="993" spans="1:6" x14ac:dyDescent="0.25">
      <c r="A993" s="11" t="s">
        <v>273</v>
      </c>
      <c r="B993" s="11">
        <v>32</v>
      </c>
      <c r="C993" s="11" t="s">
        <v>139</v>
      </c>
      <c r="D993" s="11" t="s">
        <v>421</v>
      </c>
      <c r="E993" s="19">
        <v>960000</v>
      </c>
      <c r="F993" t="s">
        <v>133</v>
      </c>
    </row>
    <row r="994" spans="1:6" x14ac:dyDescent="0.25">
      <c r="A994" s="11" t="s">
        <v>273</v>
      </c>
      <c r="B994" s="11">
        <v>32</v>
      </c>
      <c r="C994" s="11" t="s">
        <v>72</v>
      </c>
      <c r="D994" s="11" t="s">
        <v>117</v>
      </c>
      <c r="E994" s="19">
        <v>-26437.16</v>
      </c>
      <c r="F994" t="s">
        <v>131</v>
      </c>
    </row>
    <row r="995" spans="1:6" x14ac:dyDescent="0.25">
      <c r="A995" s="11" t="s">
        <v>273</v>
      </c>
      <c r="B995" s="11">
        <v>32</v>
      </c>
      <c r="C995" s="11" t="s">
        <v>132</v>
      </c>
      <c r="D995" s="11" t="s">
        <v>117</v>
      </c>
      <c r="E995" s="19">
        <v>-363642</v>
      </c>
      <c r="F995" t="s">
        <v>133</v>
      </c>
    </row>
    <row r="996" spans="1:6" x14ac:dyDescent="0.25">
      <c r="A996" s="11" t="s">
        <v>273</v>
      </c>
      <c r="B996" s="11">
        <v>32</v>
      </c>
      <c r="C996" s="11" t="s">
        <v>134</v>
      </c>
      <c r="D996" s="11" t="s">
        <v>117</v>
      </c>
      <c r="E996" s="19">
        <v>-193942.39999999999</v>
      </c>
      <c r="F996" t="s">
        <v>133</v>
      </c>
    </row>
    <row r="997" spans="1:6" x14ac:dyDescent="0.25">
      <c r="A997" s="11" t="s">
        <v>273</v>
      </c>
      <c r="B997" s="11">
        <v>32</v>
      </c>
      <c r="C997" s="11" t="s">
        <v>135</v>
      </c>
      <c r="D997" s="11" t="s">
        <v>117</v>
      </c>
      <c r="E997" s="19">
        <v>-169765.65</v>
      </c>
      <c r="F997" t="s">
        <v>133</v>
      </c>
    </row>
    <row r="998" spans="1:6" x14ac:dyDescent="0.25">
      <c r="A998" s="11" t="s">
        <v>273</v>
      </c>
      <c r="B998" s="11">
        <v>32</v>
      </c>
      <c r="C998" s="11" t="s">
        <v>136</v>
      </c>
      <c r="D998" s="11" t="s">
        <v>117</v>
      </c>
      <c r="E998" s="19">
        <v>-121261.18</v>
      </c>
      <c r="F998" t="s">
        <v>133</v>
      </c>
    </row>
    <row r="999" spans="1:6" x14ac:dyDescent="0.25">
      <c r="A999" s="11" t="s">
        <v>273</v>
      </c>
      <c r="B999" s="11">
        <v>32</v>
      </c>
      <c r="C999" s="11" t="s">
        <v>137</v>
      </c>
      <c r="D999" s="11" t="s">
        <v>117</v>
      </c>
      <c r="E999" s="19">
        <v>-145519.76999999999</v>
      </c>
      <c r="F999" t="s">
        <v>133</v>
      </c>
    </row>
    <row r="1000" spans="1:6" x14ac:dyDescent="0.25">
      <c r="A1000" s="11" t="s">
        <v>273</v>
      </c>
      <c r="B1000" s="11">
        <v>32</v>
      </c>
      <c r="C1000" s="11" t="s">
        <v>139</v>
      </c>
      <c r="D1000" s="11" t="s">
        <v>117</v>
      </c>
      <c r="E1000" s="19">
        <v>-194026.35</v>
      </c>
      <c r="F1000" t="s">
        <v>133</v>
      </c>
    </row>
    <row r="1001" spans="1:6" x14ac:dyDescent="0.25">
      <c r="A1001" s="11" t="s">
        <v>273</v>
      </c>
      <c r="B1001" s="11">
        <v>32</v>
      </c>
      <c r="C1001" s="11" t="s">
        <v>422</v>
      </c>
      <c r="D1001" s="11" t="s">
        <v>117</v>
      </c>
      <c r="E1001" s="19">
        <v>1214594.51</v>
      </c>
      <c r="F1001" t="s">
        <v>423</v>
      </c>
    </row>
    <row r="1002" spans="1:6" x14ac:dyDescent="0.25">
      <c r="A1002" s="11" t="s">
        <v>274</v>
      </c>
      <c r="B1002" s="11">
        <v>33</v>
      </c>
      <c r="C1002" s="11" t="s">
        <v>72</v>
      </c>
      <c r="D1002" s="11" t="s">
        <v>334</v>
      </c>
      <c r="E1002" s="19">
        <v>8000</v>
      </c>
      <c r="F1002" t="s">
        <v>131</v>
      </c>
    </row>
    <row r="1003" spans="1:6" x14ac:dyDescent="0.25">
      <c r="A1003" s="11" t="s">
        <v>274</v>
      </c>
      <c r="B1003" s="11">
        <v>33</v>
      </c>
      <c r="C1003" s="11" t="s">
        <v>72</v>
      </c>
      <c r="D1003" s="11" t="s">
        <v>425</v>
      </c>
      <c r="E1003" s="19">
        <v>1923728.24</v>
      </c>
      <c r="F1003" t="s">
        <v>131</v>
      </c>
    </row>
    <row r="1004" spans="1:6" x14ac:dyDescent="0.25">
      <c r="A1004" s="11" t="s">
        <v>274</v>
      </c>
      <c r="B1004" s="11">
        <v>33</v>
      </c>
      <c r="C1004" s="11" t="s">
        <v>72</v>
      </c>
      <c r="D1004" s="11" t="s">
        <v>216</v>
      </c>
      <c r="E1004" s="19">
        <v>-2670</v>
      </c>
      <c r="F1004" t="s">
        <v>131</v>
      </c>
    </row>
    <row r="1005" spans="1:6" x14ac:dyDescent="0.25">
      <c r="A1005" s="11" t="s">
        <v>274</v>
      </c>
      <c r="B1005" s="11">
        <v>33</v>
      </c>
      <c r="C1005" s="11" t="s">
        <v>72</v>
      </c>
      <c r="D1005" s="11" t="s">
        <v>424</v>
      </c>
      <c r="E1005" s="19">
        <v>15171.33</v>
      </c>
      <c r="F1005" t="s">
        <v>131</v>
      </c>
    </row>
    <row r="1006" spans="1:6" x14ac:dyDescent="0.25">
      <c r="A1006" s="11" t="s">
        <v>274</v>
      </c>
      <c r="B1006" s="11">
        <v>33</v>
      </c>
      <c r="C1006" s="11" t="s">
        <v>72</v>
      </c>
      <c r="D1006" s="11" t="s">
        <v>426</v>
      </c>
      <c r="E1006" s="19">
        <v>1140000</v>
      </c>
      <c r="F1006" t="s">
        <v>131</v>
      </c>
    </row>
    <row r="1007" spans="1:6" x14ac:dyDescent="0.25">
      <c r="A1007" s="11" t="s">
        <v>274</v>
      </c>
      <c r="B1007" s="11">
        <v>33</v>
      </c>
      <c r="C1007" s="11" t="s">
        <v>72</v>
      </c>
      <c r="D1007" s="11" t="s">
        <v>421</v>
      </c>
      <c r="E1007" s="19">
        <v>-500000</v>
      </c>
      <c r="F1007" t="s">
        <v>131</v>
      </c>
    </row>
    <row r="1008" spans="1:6" x14ac:dyDescent="0.25">
      <c r="A1008" s="11" t="s">
        <v>274</v>
      </c>
      <c r="B1008" s="11">
        <v>33</v>
      </c>
      <c r="C1008" s="11" t="s">
        <v>132</v>
      </c>
      <c r="D1008" s="11" t="s">
        <v>334</v>
      </c>
      <c r="E1008" s="19">
        <v>120000</v>
      </c>
      <c r="F1008" t="s">
        <v>133</v>
      </c>
    </row>
    <row r="1009" spans="1:6" x14ac:dyDescent="0.25">
      <c r="A1009" s="11" t="s">
        <v>274</v>
      </c>
      <c r="B1009" s="11">
        <v>33</v>
      </c>
      <c r="C1009" s="11" t="s">
        <v>132</v>
      </c>
      <c r="D1009" s="11" t="s">
        <v>425</v>
      </c>
      <c r="E1009" s="19">
        <v>26430246.350000001</v>
      </c>
      <c r="F1009" t="s">
        <v>133</v>
      </c>
    </row>
    <row r="1010" spans="1:6" x14ac:dyDescent="0.25">
      <c r="A1010" s="11" t="s">
        <v>274</v>
      </c>
      <c r="B1010" s="11">
        <v>33</v>
      </c>
      <c r="C1010" s="11" t="s">
        <v>132</v>
      </c>
      <c r="D1010" s="11" t="s">
        <v>197</v>
      </c>
      <c r="E1010" s="19">
        <v>-108673.47</v>
      </c>
      <c r="F1010" t="s">
        <v>133</v>
      </c>
    </row>
    <row r="1011" spans="1:6" x14ac:dyDescent="0.25">
      <c r="A1011" s="11" t="s">
        <v>274</v>
      </c>
      <c r="B1011" s="11">
        <v>33</v>
      </c>
      <c r="C1011" s="11" t="s">
        <v>132</v>
      </c>
      <c r="D1011" s="11" t="s">
        <v>216</v>
      </c>
      <c r="E1011" s="19">
        <v>-40050</v>
      </c>
      <c r="F1011" t="s">
        <v>133</v>
      </c>
    </row>
    <row r="1012" spans="1:6" x14ac:dyDescent="0.25">
      <c r="A1012" s="11" t="s">
        <v>274</v>
      </c>
      <c r="B1012" s="11">
        <v>33</v>
      </c>
      <c r="C1012" s="11" t="s">
        <v>132</v>
      </c>
      <c r="D1012" s="11" t="s">
        <v>424</v>
      </c>
      <c r="E1012" s="19">
        <v>227570.02</v>
      </c>
      <c r="F1012" t="s">
        <v>133</v>
      </c>
    </row>
    <row r="1013" spans="1:6" x14ac:dyDescent="0.25">
      <c r="A1013" s="11" t="s">
        <v>274</v>
      </c>
      <c r="B1013" s="11">
        <v>33</v>
      </c>
      <c r="C1013" s="11" t="s">
        <v>132</v>
      </c>
      <c r="D1013" s="11" t="s">
        <v>426</v>
      </c>
      <c r="E1013" s="19">
        <v>17100000</v>
      </c>
      <c r="F1013" t="s">
        <v>133</v>
      </c>
    </row>
    <row r="1014" spans="1:6" x14ac:dyDescent="0.25">
      <c r="A1014" s="11" t="s">
        <v>274</v>
      </c>
      <c r="B1014" s="11">
        <v>33</v>
      </c>
      <c r="C1014" s="11" t="s">
        <v>132</v>
      </c>
      <c r="D1014" s="11" t="s">
        <v>421</v>
      </c>
      <c r="E1014" s="19">
        <v>-7500000</v>
      </c>
      <c r="F1014" t="s">
        <v>133</v>
      </c>
    </row>
    <row r="1015" spans="1:6" x14ac:dyDescent="0.25">
      <c r="A1015" s="11" t="s">
        <v>274</v>
      </c>
      <c r="B1015" s="11">
        <v>33</v>
      </c>
      <c r="C1015" s="11" t="s">
        <v>134</v>
      </c>
      <c r="D1015" s="11" t="s">
        <v>334</v>
      </c>
      <c r="E1015" s="19">
        <v>64000</v>
      </c>
      <c r="F1015" t="s">
        <v>133</v>
      </c>
    </row>
    <row r="1016" spans="1:6" x14ac:dyDescent="0.25">
      <c r="A1016" s="11" t="s">
        <v>274</v>
      </c>
      <c r="B1016" s="11">
        <v>33</v>
      </c>
      <c r="C1016" s="11" t="s">
        <v>134</v>
      </c>
      <c r="D1016" s="11" t="s">
        <v>425</v>
      </c>
      <c r="E1016" s="19">
        <v>14096131.390000001</v>
      </c>
      <c r="F1016" t="s">
        <v>133</v>
      </c>
    </row>
    <row r="1017" spans="1:6" x14ac:dyDescent="0.25">
      <c r="A1017" s="11" t="s">
        <v>274</v>
      </c>
      <c r="B1017" s="11">
        <v>33</v>
      </c>
      <c r="C1017" s="11" t="s">
        <v>134</v>
      </c>
      <c r="D1017" s="11" t="s">
        <v>197</v>
      </c>
      <c r="E1017" s="19">
        <v>-57959.18</v>
      </c>
      <c r="F1017" t="s">
        <v>133</v>
      </c>
    </row>
    <row r="1018" spans="1:6" x14ac:dyDescent="0.25">
      <c r="A1018" s="11" t="s">
        <v>274</v>
      </c>
      <c r="B1018" s="11">
        <v>33</v>
      </c>
      <c r="C1018" s="11" t="s">
        <v>134</v>
      </c>
      <c r="D1018" s="11" t="s">
        <v>216</v>
      </c>
      <c r="E1018" s="19">
        <v>-21360</v>
      </c>
      <c r="F1018" t="s">
        <v>133</v>
      </c>
    </row>
    <row r="1019" spans="1:6" x14ac:dyDescent="0.25">
      <c r="A1019" s="11" t="s">
        <v>274</v>
      </c>
      <c r="B1019" s="11">
        <v>33</v>
      </c>
      <c r="C1019" s="11" t="s">
        <v>134</v>
      </c>
      <c r="D1019" s="11" t="s">
        <v>424</v>
      </c>
      <c r="E1019" s="19">
        <v>121370.68</v>
      </c>
      <c r="F1019" t="s">
        <v>133</v>
      </c>
    </row>
    <row r="1020" spans="1:6" x14ac:dyDescent="0.25">
      <c r="A1020" s="11" t="s">
        <v>274</v>
      </c>
      <c r="B1020" s="11">
        <v>33</v>
      </c>
      <c r="C1020" s="11" t="s">
        <v>134</v>
      </c>
      <c r="D1020" s="11" t="s">
        <v>426</v>
      </c>
      <c r="E1020" s="19">
        <v>9120000</v>
      </c>
      <c r="F1020" t="s">
        <v>133</v>
      </c>
    </row>
    <row r="1021" spans="1:6" x14ac:dyDescent="0.25">
      <c r="A1021" s="11" t="s">
        <v>274</v>
      </c>
      <c r="B1021" s="11">
        <v>33</v>
      </c>
      <c r="C1021" s="11" t="s">
        <v>134</v>
      </c>
      <c r="D1021" s="11" t="s">
        <v>421</v>
      </c>
      <c r="E1021" s="19">
        <v>-4000000</v>
      </c>
      <c r="F1021" t="s">
        <v>133</v>
      </c>
    </row>
    <row r="1022" spans="1:6" x14ac:dyDescent="0.25">
      <c r="A1022" s="11" t="s">
        <v>274</v>
      </c>
      <c r="B1022" s="11">
        <v>33</v>
      </c>
      <c r="C1022" s="11" t="s">
        <v>135</v>
      </c>
      <c r="D1022" s="11" t="s">
        <v>334</v>
      </c>
      <c r="E1022" s="19">
        <v>56000</v>
      </c>
      <c r="F1022" t="s">
        <v>133</v>
      </c>
    </row>
    <row r="1023" spans="1:6" x14ac:dyDescent="0.25">
      <c r="A1023" s="11" t="s">
        <v>274</v>
      </c>
      <c r="B1023" s="11">
        <v>33</v>
      </c>
      <c r="C1023" s="11" t="s">
        <v>135</v>
      </c>
      <c r="D1023" s="11" t="s">
        <v>425</v>
      </c>
      <c r="E1023" s="19">
        <v>12575015.970000001</v>
      </c>
      <c r="F1023" t="s">
        <v>133</v>
      </c>
    </row>
    <row r="1024" spans="1:6" x14ac:dyDescent="0.25">
      <c r="A1024" s="11" t="s">
        <v>274</v>
      </c>
      <c r="B1024" s="11">
        <v>33</v>
      </c>
      <c r="C1024" s="11" t="s">
        <v>135</v>
      </c>
      <c r="D1024" s="11" t="s">
        <v>197</v>
      </c>
      <c r="E1024" s="19">
        <v>-50714.29</v>
      </c>
      <c r="F1024" t="s">
        <v>133</v>
      </c>
    </row>
    <row r="1025" spans="1:6" x14ac:dyDescent="0.25">
      <c r="A1025" s="11" t="s">
        <v>274</v>
      </c>
      <c r="B1025" s="11">
        <v>33</v>
      </c>
      <c r="C1025" s="11" t="s">
        <v>135</v>
      </c>
      <c r="D1025" s="11" t="s">
        <v>216</v>
      </c>
      <c r="E1025" s="19">
        <v>-18690</v>
      </c>
      <c r="F1025" t="s">
        <v>133</v>
      </c>
    </row>
    <row r="1026" spans="1:6" x14ac:dyDescent="0.25">
      <c r="A1026" s="11" t="s">
        <v>274</v>
      </c>
      <c r="B1026" s="11">
        <v>33</v>
      </c>
      <c r="C1026" s="11" t="s">
        <v>135</v>
      </c>
      <c r="D1026" s="11" t="s">
        <v>424</v>
      </c>
      <c r="E1026" s="19">
        <v>106199.34</v>
      </c>
      <c r="F1026" t="s">
        <v>133</v>
      </c>
    </row>
    <row r="1027" spans="1:6" x14ac:dyDescent="0.25">
      <c r="A1027" s="11" t="s">
        <v>274</v>
      </c>
      <c r="B1027" s="11">
        <v>33</v>
      </c>
      <c r="C1027" s="11" t="s">
        <v>135</v>
      </c>
      <c r="D1027" s="11" t="s">
        <v>426</v>
      </c>
      <c r="E1027" s="19">
        <v>7980000</v>
      </c>
      <c r="F1027" t="s">
        <v>133</v>
      </c>
    </row>
    <row r="1028" spans="1:6" x14ac:dyDescent="0.25">
      <c r="A1028" s="11" t="s">
        <v>274</v>
      </c>
      <c r="B1028" s="11">
        <v>33</v>
      </c>
      <c r="C1028" s="11" t="s">
        <v>135</v>
      </c>
      <c r="D1028" s="11" t="s">
        <v>421</v>
      </c>
      <c r="E1028" s="19">
        <v>-3500000</v>
      </c>
      <c r="F1028" t="s">
        <v>133</v>
      </c>
    </row>
    <row r="1029" spans="1:6" x14ac:dyDescent="0.25">
      <c r="A1029" s="11" t="s">
        <v>274</v>
      </c>
      <c r="B1029" s="11">
        <v>33</v>
      </c>
      <c r="C1029" s="11" t="s">
        <v>136</v>
      </c>
      <c r="D1029" s="11" t="s">
        <v>334</v>
      </c>
      <c r="E1029" s="19">
        <v>40000</v>
      </c>
      <c r="F1029" t="s">
        <v>133</v>
      </c>
    </row>
    <row r="1030" spans="1:6" x14ac:dyDescent="0.25">
      <c r="A1030" s="11" t="s">
        <v>274</v>
      </c>
      <c r="B1030" s="11">
        <v>33</v>
      </c>
      <c r="C1030" s="11" t="s">
        <v>136</v>
      </c>
      <c r="D1030" s="11" t="s">
        <v>425</v>
      </c>
      <c r="E1030" s="19">
        <v>8982154.2799999993</v>
      </c>
      <c r="F1030" t="s">
        <v>133</v>
      </c>
    </row>
    <row r="1031" spans="1:6" x14ac:dyDescent="0.25">
      <c r="A1031" s="11" t="s">
        <v>274</v>
      </c>
      <c r="B1031" s="11">
        <v>33</v>
      </c>
      <c r="C1031" s="11" t="s">
        <v>136</v>
      </c>
      <c r="D1031" s="11" t="s">
        <v>197</v>
      </c>
      <c r="E1031" s="19">
        <v>-36224.49</v>
      </c>
      <c r="F1031" t="s">
        <v>133</v>
      </c>
    </row>
    <row r="1032" spans="1:6" x14ac:dyDescent="0.25">
      <c r="A1032" s="11" t="s">
        <v>274</v>
      </c>
      <c r="B1032" s="11">
        <v>33</v>
      </c>
      <c r="C1032" s="11" t="s">
        <v>136</v>
      </c>
      <c r="D1032" s="11" t="s">
        <v>216</v>
      </c>
      <c r="E1032" s="19">
        <v>-13350</v>
      </c>
      <c r="F1032" t="s">
        <v>133</v>
      </c>
    </row>
    <row r="1033" spans="1:6" x14ac:dyDescent="0.25">
      <c r="A1033" s="11" t="s">
        <v>274</v>
      </c>
      <c r="B1033" s="11">
        <v>33</v>
      </c>
      <c r="C1033" s="11" t="s">
        <v>136</v>
      </c>
      <c r="D1033" s="11" t="s">
        <v>424</v>
      </c>
      <c r="E1033" s="19">
        <v>75856.67</v>
      </c>
      <c r="F1033" t="s">
        <v>133</v>
      </c>
    </row>
    <row r="1034" spans="1:6" x14ac:dyDescent="0.25">
      <c r="A1034" s="11" t="s">
        <v>274</v>
      </c>
      <c r="B1034" s="11">
        <v>33</v>
      </c>
      <c r="C1034" s="11" t="s">
        <v>136</v>
      </c>
      <c r="D1034" s="11" t="s">
        <v>426</v>
      </c>
      <c r="E1034" s="19">
        <v>5700000</v>
      </c>
      <c r="F1034" t="s">
        <v>133</v>
      </c>
    </row>
    <row r="1035" spans="1:6" x14ac:dyDescent="0.25">
      <c r="A1035" s="11" t="s">
        <v>274</v>
      </c>
      <c r="B1035" s="11">
        <v>33</v>
      </c>
      <c r="C1035" s="11" t="s">
        <v>136</v>
      </c>
      <c r="D1035" s="11" t="s">
        <v>421</v>
      </c>
      <c r="E1035" s="19">
        <v>-2500000</v>
      </c>
      <c r="F1035" t="s">
        <v>133</v>
      </c>
    </row>
    <row r="1036" spans="1:6" x14ac:dyDescent="0.25">
      <c r="A1036" s="11" t="s">
        <v>274</v>
      </c>
      <c r="B1036" s="11">
        <v>33</v>
      </c>
      <c r="C1036" s="11" t="s">
        <v>137</v>
      </c>
      <c r="D1036" s="11" t="s">
        <v>334</v>
      </c>
      <c r="E1036" s="19">
        <v>48000</v>
      </c>
      <c r="F1036" t="s">
        <v>133</v>
      </c>
    </row>
    <row r="1037" spans="1:6" x14ac:dyDescent="0.25">
      <c r="A1037" s="11" t="s">
        <v>274</v>
      </c>
      <c r="B1037" s="11">
        <v>33</v>
      </c>
      <c r="C1037" s="11" t="s">
        <v>137</v>
      </c>
      <c r="D1037" s="11" t="s">
        <v>425</v>
      </c>
      <c r="E1037" s="19">
        <v>10796881.609999999</v>
      </c>
      <c r="F1037" t="s">
        <v>133</v>
      </c>
    </row>
    <row r="1038" spans="1:6" x14ac:dyDescent="0.25">
      <c r="A1038" s="11" t="s">
        <v>274</v>
      </c>
      <c r="B1038" s="11">
        <v>33</v>
      </c>
      <c r="C1038" s="11" t="s">
        <v>137</v>
      </c>
      <c r="D1038" s="11" t="s">
        <v>197</v>
      </c>
      <c r="E1038" s="19">
        <v>-43469.39</v>
      </c>
      <c r="F1038" t="s">
        <v>133</v>
      </c>
    </row>
    <row r="1039" spans="1:6" x14ac:dyDescent="0.25">
      <c r="A1039" s="11" t="s">
        <v>274</v>
      </c>
      <c r="B1039" s="11">
        <v>33</v>
      </c>
      <c r="C1039" s="11" t="s">
        <v>137</v>
      </c>
      <c r="D1039" s="11" t="s">
        <v>216</v>
      </c>
      <c r="E1039" s="19">
        <v>-16020</v>
      </c>
      <c r="F1039" t="s">
        <v>133</v>
      </c>
    </row>
    <row r="1040" spans="1:6" x14ac:dyDescent="0.25">
      <c r="A1040" s="11" t="s">
        <v>274</v>
      </c>
      <c r="B1040" s="11">
        <v>33</v>
      </c>
      <c r="C1040" s="11" t="s">
        <v>137</v>
      </c>
      <c r="D1040" s="11" t="s">
        <v>424</v>
      </c>
      <c r="E1040" s="19">
        <v>91028.01</v>
      </c>
      <c r="F1040" t="s">
        <v>133</v>
      </c>
    </row>
    <row r="1041" spans="1:6" x14ac:dyDescent="0.25">
      <c r="A1041" s="11" t="s">
        <v>274</v>
      </c>
      <c r="B1041" s="11">
        <v>33</v>
      </c>
      <c r="C1041" s="11" t="s">
        <v>137</v>
      </c>
      <c r="D1041" s="11" t="s">
        <v>426</v>
      </c>
      <c r="E1041" s="19">
        <v>6840000</v>
      </c>
      <c r="F1041" t="s">
        <v>133</v>
      </c>
    </row>
    <row r="1042" spans="1:6" x14ac:dyDescent="0.25">
      <c r="A1042" s="11" t="s">
        <v>274</v>
      </c>
      <c r="B1042" s="11">
        <v>33</v>
      </c>
      <c r="C1042" s="11" t="s">
        <v>137</v>
      </c>
      <c r="D1042" s="11" t="s">
        <v>421</v>
      </c>
      <c r="E1042" s="19">
        <v>-3000000</v>
      </c>
      <c r="F1042" t="s">
        <v>133</v>
      </c>
    </row>
    <row r="1043" spans="1:6" x14ac:dyDescent="0.25">
      <c r="A1043" s="11" t="s">
        <v>274</v>
      </c>
      <c r="B1043" s="11">
        <v>33</v>
      </c>
      <c r="C1043" s="11" t="s">
        <v>139</v>
      </c>
      <c r="D1043" s="11" t="s">
        <v>334</v>
      </c>
      <c r="E1043" s="19">
        <v>64000</v>
      </c>
      <c r="F1043" t="s">
        <v>133</v>
      </c>
    </row>
    <row r="1044" spans="1:6" x14ac:dyDescent="0.25">
      <c r="A1044" s="11" t="s">
        <v>274</v>
      </c>
      <c r="B1044" s="11">
        <v>33</v>
      </c>
      <c r="C1044" s="11" t="s">
        <v>139</v>
      </c>
      <c r="D1044" s="11" t="s">
        <v>425</v>
      </c>
      <c r="E1044" s="19">
        <v>14395842.16</v>
      </c>
      <c r="F1044" t="s">
        <v>133</v>
      </c>
    </row>
    <row r="1045" spans="1:6" x14ac:dyDescent="0.25">
      <c r="A1045" s="11" t="s">
        <v>274</v>
      </c>
      <c r="B1045" s="11">
        <v>33</v>
      </c>
      <c r="C1045" s="11" t="s">
        <v>139</v>
      </c>
      <c r="D1045" s="11" t="s">
        <v>197</v>
      </c>
      <c r="E1045" s="19">
        <v>-57959.18</v>
      </c>
      <c r="F1045" t="s">
        <v>133</v>
      </c>
    </row>
    <row r="1046" spans="1:6" x14ac:dyDescent="0.25">
      <c r="A1046" s="11" t="s">
        <v>274</v>
      </c>
      <c r="B1046" s="11">
        <v>33</v>
      </c>
      <c r="C1046" s="11" t="s">
        <v>139</v>
      </c>
      <c r="D1046" s="11" t="s">
        <v>216</v>
      </c>
      <c r="E1046" s="19">
        <v>-21360</v>
      </c>
      <c r="F1046" t="s">
        <v>133</v>
      </c>
    </row>
    <row r="1047" spans="1:6" x14ac:dyDescent="0.25">
      <c r="A1047" s="11" t="s">
        <v>274</v>
      </c>
      <c r="B1047" s="11">
        <v>33</v>
      </c>
      <c r="C1047" s="11" t="s">
        <v>139</v>
      </c>
      <c r="D1047" s="11" t="s">
        <v>424</v>
      </c>
      <c r="E1047" s="19">
        <v>121370.67</v>
      </c>
      <c r="F1047" t="s">
        <v>133</v>
      </c>
    </row>
    <row r="1048" spans="1:6" x14ac:dyDescent="0.25">
      <c r="A1048" s="11" t="s">
        <v>274</v>
      </c>
      <c r="B1048" s="11">
        <v>33</v>
      </c>
      <c r="C1048" s="11" t="s">
        <v>139</v>
      </c>
      <c r="D1048" s="11" t="s">
        <v>426</v>
      </c>
      <c r="E1048" s="19">
        <v>9120000</v>
      </c>
      <c r="F1048" t="s">
        <v>133</v>
      </c>
    </row>
    <row r="1049" spans="1:6" x14ac:dyDescent="0.25">
      <c r="A1049" s="11" t="s">
        <v>274</v>
      </c>
      <c r="B1049" s="11">
        <v>33</v>
      </c>
      <c r="C1049" s="11" t="s">
        <v>139</v>
      </c>
      <c r="D1049" s="11" t="s">
        <v>421</v>
      </c>
      <c r="E1049" s="19">
        <v>-4000000</v>
      </c>
      <c r="F1049" t="s">
        <v>133</v>
      </c>
    </row>
    <row r="1050" spans="1:6" x14ac:dyDescent="0.25">
      <c r="A1050" s="11" t="s">
        <v>274</v>
      </c>
      <c r="B1050" s="11">
        <v>33</v>
      </c>
      <c r="C1050" s="11" t="s">
        <v>72</v>
      </c>
      <c r="D1050" s="11" t="s">
        <v>117</v>
      </c>
      <c r="E1050" s="19">
        <v>-130657.27</v>
      </c>
      <c r="F1050" t="s">
        <v>131</v>
      </c>
    </row>
    <row r="1051" spans="1:6" x14ac:dyDescent="0.25">
      <c r="A1051" s="11" t="s">
        <v>274</v>
      </c>
      <c r="B1051" s="11">
        <v>33</v>
      </c>
      <c r="C1051" s="11" t="s">
        <v>132</v>
      </c>
      <c r="D1051" s="11" t="s">
        <v>117</v>
      </c>
      <c r="E1051" s="19">
        <v>-1935397.57</v>
      </c>
      <c r="F1051" t="s">
        <v>133</v>
      </c>
    </row>
    <row r="1052" spans="1:6" x14ac:dyDescent="0.25">
      <c r="A1052" s="11" t="s">
        <v>274</v>
      </c>
      <c r="B1052" s="11">
        <v>33</v>
      </c>
      <c r="C1052" s="11" t="s">
        <v>134</v>
      </c>
      <c r="D1052" s="11" t="s">
        <v>117</v>
      </c>
      <c r="E1052" s="19">
        <v>-1032212.04</v>
      </c>
      <c r="F1052" t="s">
        <v>133</v>
      </c>
    </row>
    <row r="1053" spans="1:6" x14ac:dyDescent="0.25">
      <c r="A1053" s="11" t="s">
        <v>274</v>
      </c>
      <c r="B1053" s="11">
        <v>33</v>
      </c>
      <c r="C1053" s="11" t="s">
        <v>135</v>
      </c>
      <c r="D1053" s="11" t="s">
        <v>117</v>
      </c>
      <c r="E1053" s="19">
        <v>-903453.99</v>
      </c>
      <c r="F1053" t="s">
        <v>133</v>
      </c>
    </row>
    <row r="1054" spans="1:6" x14ac:dyDescent="0.25">
      <c r="A1054" s="11" t="s">
        <v>274</v>
      </c>
      <c r="B1054" s="11">
        <v>33</v>
      </c>
      <c r="C1054" s="11" t="s">
        <v>136</v>
      </c>
      <c r="D1054" s="11" t="s">
        <v>117</v>
      </c>
      <c r="E1054" s="19">
        <v>-645324.27</v>
      </c>
      <c r="F1054" t="s">
        <v>133</v>
      </c>
    </row>
    <row r="1055" spans="1:6" x14ac:dyDescent="0.25">
      <c r="A1055" s="11" t="s">
        <v>274</v>
      </c>
      <c r="B1055" s="11">
        <v>33</v>
      </c>
      <c r="C1055" s="11" t="s">
        <v>137</v>
      </c>
      <c r="D1055" s="11" t="s">
        <v>117</v>
      </c>
      <c r="E1055" s="19">
        <v>-774414.95</v>
      </c>
      <c r="F1055" t="s">
        <v>133</v>
      </c>
    </row>
    <row r="1056" spans="1:6" x14ac:dyDescent="0.25">
      <c r="A1056" s="11" t="s">
        <v>274</v>
      </c>
      <c r="B1056" s="11">
        <v>33</v>
      </c>
      <c r="C1056" s="11" t="s">
        <v>139</v>
      </c>
      <c r="D1056" s="11" t="s">
        <v>117</v>
      </c>
      <c r="E1056" s="19">
        <v>-1032553.25</v>
      </c>
      <c r="F1056" t="s">
        <v>133</v>
      </c>
    </row>
    <row r="1057" spans="1:6" x14ac:dyDescent="0.25">
      <c r="A1057" s="11" t="s">
        <v>274</v>
      </c>
      <c r="B1057" s="11">
        <v>33</v>
      </c>
      <c r="C1057" s="11" t="s">
        <v>422</v>
      </c>
      <c r="D1057" s="11" t="s">
        <v>117</v>
      </c>
      <c r="E1057" s="19">
        <v>6454013.3399999999</v>
      </c>
      <c r="F1057" t="s">
        <v>423</v>
      </c>
    </row>
    <row r="1058" spans="1:6" x14ac:dyDescent="0.25">
      <c r="A1058" s="11" t="s">
        <v>275</v>
      </c>
      <c r="B1058" s="11">
        <v>34</v>
      </c>
      <c r="C1058" s="11" t="s">
        <v>72</v>
      </c>
      <c r="D1058" s="11" t="s">
        <v>216</v>
      </c>
      <c r="E1058" s="19">
        <v>-2670</v>
      </c>
      <c r="F1058" t="s">
        <v>131</v>
      </c>
    </row>
    <row r="1059" spans="1:6" x14ac:dyDescent="0.25">
      <c r="A1059" s="11" t="s">
        <v>275</v>
      </c>
      <c r="B1059" s="11">
        <v>34</v>
      </c>
      <c r="C1059" s="11" t="s">
        <v>72</v>
      </c>
      <c r="D1059" s="11" t="s">
        <v>424</v>
      </c>
      <c r="E1059" s="19">
        <v>15626.47</v>
      </c>
      <c r="F1059" t="s">
        <v>131</v>
      </c>
    </row>
    <row r="1060" spans="1:6" x14ac:dyDescent="0.25">
      <c r="A1060" s="11" t="s">
        <v>275</v>
      </c>
      <c r="B1060" s="11">
        <v>34</v>
      </c>
      <c r="C1060" s="11" t="s">
        <v>132</v>
      </c>
      <c r="D1060" s="11" t="s">
        <v>197</v>
      </c>
      <c r="E1060" s="19">
        <v>-108673.47</v>
      </c>
      <c r="F1060" t="s">
        <v>133</v>
      </c>
    </row>
    <row r="1061" spans="1:6" x14ac:dyDescent="0.25">
      <c r="A1061" s="11" t="s">
        <v>275</v>
      </c>
      <c r="B1061" s="11">
        <v>34</v>
      </c>
      <c r="C1061" s="11" t="s">
        <v>132</v>
      </c>
      <c r="D1061" s="11" t="s">
        <v>216</v>
      </c>
      <c r="E1061" s="19">
        <v>-40050</v>
      </c>
      <c r="F1061" t="s">
        <v>133</v>
      </c>
    </row>
    <row r="1062" spans="1:6" x14ac:dyDescent="0.25">
      <c r="A1062" s="11" t="s">
        <v>275</v>
      </c>
      <c r="B1062" s="11">
        <v>34</v>
      </c>
      <c r="C1062" s="11" t="s">
        <v>132</v>
      </c>
      <c r="D1062" s="11" t="s">
        <v>424</v>
      </c>
      <c r="E1062" s="19">
        <v>234397.12</v>
      </c>
      <c r="F1062" t="s">
        <v>133</v>
      </c>
    </row>
    <row r="1063" spans="1:6" x14ac:dyDescent="0.25">
      <c r="A1063" s="11" t="s">
        <v>275</v>
      </c>
      <c r="B1063" s="11">
        <v>34</v>
      </c>
      <c r="C1063" s="11" t="s">
        <v>134</v>
      </c>
      <c r="D1063" s="11" t="s">
        <v>197</v>
      </c>
      <c r="E1063" s="19">
        <v>-57959.18</v>
      </c>
      <c r="F1063" t="s">
        <v>133</v>
      </c>
    </row>
    <row r="1064" spans="1:6" x14ac:dyDescent="0.25">
      <c r="A1064" s="11" t="s">
        <v>275</v>
      </c>
      <c r="B1064" s="11">
        <v>34</v>
      </c>
      <c r="C1064" s="11" t="s">
        <v>134</v>
      </c>
      <c r="D1064" s="11" t="s">
        <v>216</v>
      </c>
      <c r="E1064" s="19">
        <v>-21360</v>
      </c>
      <c r="F1064" t="s">
        <v>133</v>
      </c>
    </row>
    <row r="1065" spans="1:6" x14ac:dyDescent="0.25">
      <c r="A1065" s="11" t="s">
        <v>275</v>
      </c>
      <c r="B1065" s="11">
        <v>34</v>
      </c>
      <c r="C1065" s="11" t="s">
        <v>134</v>
      </c>
      <c r="D1065" s="11" t="s">
        <v>424</v>
      </c>
      <c r="E1065" s="19">
        <v>125011.8</v>
      </c>
      <c r="F1065" t="s">
        <v>133</v>
      </c>
    </row>
    <row r="1066" spans="1:6" x14ac:dyDescent="0.25">
      <c r="A1066" s="11" t="s">
        <v>275</v>
      </c>
      <c r="B1066" s="11">
        <v>34</v>
      </c>
      <c r="C1066" s="11" t="s">
        <v>135</v>
      </c>
      <c r="D1066" s="11" t="s">
        <v>197</v>
      </c>
      <c r="E1066" s="19">
        <v>-50714.29</v>
      </c>
      <c r="F1066" t="s">
        <v>133</v>
      </c>
    </row>
    <row r="1067" spans="1:6" x14ac:dyDescent="0.25">
      <c r="A1067" s="11" t="s">
        <v>275</v>
      </c>
      <c r="B1067" s="11">
        <v>34</v>
      </c>
      <c r="C1067" s="11" t="s">
        <v>135</v>
      </c>
      <c r="D1067" s="11" t="s">
        <v>216</v>
      </c>
      <c r="E1067" s="19">
        <v>-18690</v>
      </c>
      <c r="F1067" t="s">
        <v>133</v>
      </c>
    </row>
    <row r="1068" spans="1:6" x14ac:dyDescent="0.25">
      <c r="A1068" s="11" t="s">
        <v>275</v>
      </c>
      <c r="B1068" s="11">
        <v>34</v>
      </c>
      <c r="C1068" s="11" t="s">
        <v>135</v>
      </c>
      <c r="D1068" s="11" t="s">
        <v>424</v>
      </c>
      <c r="E1068" s="19">
        <v>109385.32</v>
      </c>
      <c r="F1068" t="s">
        <v>133</v>
      </c>
    </row>
    <row r="1069" spans="1:6" x14ac:dyDescent="0.25">
      <c r="A1069" s="11" t="s">
        <v>275</v>
      </c>
      <c r="B1069" s="11">
        <v>34</v>
      </c>
      <c r="C1069" s="11" t="s">
        <v>136</v>
      </c>
      <c r="D1069" s="11" t="s">
        <v>197</v>
      </c>
      <c r="E1069" s="19">
        <v>-36224.49</v>
      </c>
      <c r="F1069" t="s">
        <v>133</v>
      </c>
    </row>
    <row r="1070" spans="1:6" x14ac:dyDescent="0.25">
      <c r="A1070" s="11" t="s">
        <v>275</v>
      </c>
      <c r="B1070" s="11">
        <v>34</v>
      </c>
      <c r="C1070" s="11" t="s">
        <v>136</v>
      </c>
      <c r="D1070" s="11" t="s">
        <v>216</v>
      </c>
      <c r="E1070" s="19">
        <v>-13350</v>
      </c>
      <c r="F1070" t="s">
        <v>133</v>
      </c>
    </row>
    <row r="1071" spans="1:6" x14ac:dyDescent="0.25">
      <c r="A1071" s="11" t="s">
        <v>275</v>
      </c>
      <c r="B1071" s="11">
        <v>34</v>
      </c>
      <c r="C1071" s="11" t="s">
        <v>136</v>
      </c>
      <c r="D1071" s="11" t="s">
        <v>424</v>
      </c>
      <c r="E1071" s="19">
        <v>78132.37</v>
      </c>
      <c r="F1071" t="s">
        <v>133</v>
      </c>
    </row>
    <row r="1072" spans="1:6" x14ac:dyDescent="0.25">
      <c r="A1072" s="11" t="s">
        <v>275</v>
      </c>
      <c r="B1072" s="11">
        <v>34</v>
      </c>
      <c r="C1072" s="11" t="s">
        <v>137</v>
      </c>
      <c r="D1072" s="11" t="s">
        <v>197</v>
      </c>
      <c r="E1072" s="19">
        <v>-43469.39</v>
      </c>
      <c r="F1072" t="s">
        <v>133</v>
      </c>
    </row>
    <row r="1073" spans="1:6" x14ac:dyDescent="0.25">
      <c r="A1073" s="11" t="s">
        <v>275</v>
      </c>
      <c r="B1073" s="11">
        <v>34</v>
      </c>
      <c r="C1073" s="11" t="s">
        <v>137</v>
      </c>
      <c r="D1073" s="11" t="s">
        <v>216</v>
      </c>
      <c r="E1073" s="19">
        <v>-16020</v>
      </c>
      <c r="F1073" t="s">
        <v>133</v>
      </c>
    </row>
    <row r="1074" spans="1:6" x14ac:dyDescent="0.25">
      <c r="A1074" s="11" t="s">
        <v>275</v>
      </c>
      <c r="B1074" s="11">
        <v>34</v>
      </c>
      <c r="C1074" s="11" t="s">
        <v>137</v>
      </c>
      <c r="D1074" s="11" t="s">
        <v>424</v>
      </c>
      <c r="E1074" s="19">
        <v>93758.85</v>
      </c>
      <c r="F1074" t="s">
        <v>133</v>
      </c>
    </row>
    <row r="1075" spans="1:6" x14ac:dyDescent="0.25">
      <c r="A1075" s="11" t="s">
        <v>275</v>
      </c>
      <c r="B1075" s="11">
        <v>34</v>
      </c>
      <c r="C1075" s="11" t="s">
        <v>139</v>
      </c>
      <c r="D1075" s="11" t="s">
        <v>197</v>
      </c>
      <c r="E1075" s="19">
        <v>-57959.18</v>
      </c>
      <c r="F1075" t="s">
        <v>133</v>
      </c>
    </row>
    <row r="1076" spans="1:6" x14ac:dyDescent="0.25">
      <c r="A1076" s="11" t="s">
        <v>275</v>
      </c>
      <c r="B1076" s="11">
        <v>34</v>
      </c>
      <c r="C1076" s="11" t="s">
        <v>139</v>
      </c>
      <c r="D1076" s="11" t="s">
        <v>216</v>
      </c>
      <c r="E1076" s="19">
        <v>-21360</v>
      </c>
      <c r="F1076" t="s">
        <v>133</v>
      </c>
    </row>
    <row r="1077" spans="1:6" x14ac:dyDescent="0.25">
      <c r="A1077" s="11" t="s">
        <v>275</v>
      </c>
      <c r="B1077" s="11">
        <v>34</v>
      </c>
      <c r="C1077" s="11" t="s">
        <v>139</v>
      </c>
      <c r="D1077" s="11" t="s">
        <v>424</v>
      </c>
      <c r="E1077" s="19">
        <v>125011.79</v>
      </c>
      <c r="F1077" t="s">
        <v>133</v>
      </c>
    </row>
    <row r="1078" spans="1:6" x14ac:dyDescent="0.25">
      <c r="A1078" s="11" t="s">
        <v>275</v>
      </c>
      <c r="B1078" s="11">
        <v>34</v>
      </c>
      <c r="C1078" s="11" t="s">
        <v>72</v>
      </c>
      <c r="D1078" s="11" t="s">
        <v>117</v>
      </c>
      <c r="E1078" s="19">
        <v>-2584.6799999999998</v>
      </c>
      <c r="F1078" t="s">
        <v>131</v>
      </c>
    </row>
    <row r="1079" spans="1:6" x14ac:dyDescent="0.25">
      <c r="A1079" s="11" t="s">
        <v>275</v>
      </c>
      <c r="B1079" s="11">
        <v>34</v>
      </c>
      <c r="C1079" s="11" t="s">
        <v>132</v>
      </c>
      <c r="D1079" s="11" t="s">
        <v>117</v>
      </c>
      <c r="E1079" s="19">
        <v>-17134.41</v>
      </c>
      <c r="F1079" t="s">
        <v>133</v>
      </c>
    </row>
    <row r="1080" spans="1:6" x14ac:dyDescent="0.25">
      <c r="A1080" s="11" t="s">
        <v>275</v>
      </c>
      <c r="B1080" s="11">
        <v>34</v>
      </c>
      <c r="C1080" s="11" t="s">
        <v>134</v>
      </c>
      <c r="D1080" s="11" t="s">
        <v>117</v>
      </c>
      <c r="E1080" s="19">
        <v>-9138.35</v>
      </c>
      <c r="F1080" t="s">
        <v>133</v>
      </c>
    </row>
    <row r="1081" spans="1:6" x14ac:dyDescent="0.25">
      <c r="A1081" s="11" t="s">
        <v>275</v>
      </c>
      <c r="B1081" s="11">
        <v>34</v>
      </c>
      <c r="C1081" s="11" t="s">
        <v>135</v>
      </c>
      <c r="D1081" s="11" t="s">
        <v>117</v>
      </c>
      <c r="E1081" s="19">
        <v>-7998</v>
      </c>
      <c r="F1081" t="s">
        <v>133</v>
      </c>
    </row>
    <row r="1082" spans="1:6" x14ac:dyDescent="0.25">
      <c r="A1082" s="11" t="s">
        <v>275</v>
      </c>
      <c r="B1082" s="11">
        <v>34</v>
      </c>
      <c r="C1082" s="11" t="s">
        <v>136</v>
      </c>
      <c r="D1082" s="11" t="s">
        <v>117</v>
      </c>
      <c r="E1082" s="19">
        <v>-5712.86</v>
      </c>
      <c r="F1082" t="s">
        <v>133</v>
      </c>
    </row>
    <row r="1083" spans="1:6" x14ac:dyDescent="0.25">
      <c r="A1083" s="11" t="s">
        <v>275</v>
      </c>
      <c r="B1083" s="11">
        <v>34</v>
      </c>
      <c r="C1083" s="11" t="s">
        <v>137</v>
      </c>
      <c r="D1083" s="11" t="s">
        <v>117</v>
      </c>
      <c r="E1083" s="19">
        <v>-6855.62</v>
      </c>
      <c r="F1083" t="s">
        <v>133</v>
      </c>
    </row>
    <row r="1084" spans="1:6" x14ac:dyDescent="0.25">
      <c r="A1084" s="11" t="s">
        <v>275</v>
      </c>
      <c r="B1084" s="11">
        <v>34</v>
      </c>
      <c r="C1084" s="11" t="s">
        <v>139</v>
      </c>
      <c r="D1084" s="11" t="s">
        <v>117</v>
      </c>
      <c r="E1084" s="19">
        <v>-9140.83</v>
      </c>
      <c r="F1084" t="s">
        <v>133</v>
      </c>
    </row>
    <row r="1085" spans="1:6" x14ac:dyDescent="0.25">
      <c r="A1085" s="11" t="s">
        <v>275</v>
      </c>
      <c r="B1085" s="11">
        <v>34</v>
      </c>
      <c r="C1085" s="11" t="s">
        <v>422</v>
      </c>
      <c r="D1085" s="11" t="s">
        <v>117</v>
      </c>
      <c r="E1085" s="19">
        <v>58564.75</v>
      </c>
      <c r="F1085" t="s">
        <v>423</v>
      </c>
    </row>
    <row r="1086" spans="1:6" x14ac:dyDescent="0.25">
      <c r="A1086" s="11" t="s">
        <v>276</v>
      </c>
      <c r="B1086" s="11">
        <v>35</v>
      </c>
      <c r="C1086" s="11" t="s">
        <v>72</v>
      </c>
      <c r="D1086" s="11" t="s">
        <v>216</v>
      </c>
      <c r="E1086" s="19">
        <v>-2670</v>
      </c>
      <c r="F1086" t="s">
        <v>131</v>
      </c>
    </row>
    <row r="1087" spans="1:6" x14ac:dyDescent="0.25">
      <c r="A1087" s="11" t="s">
        <v>276</v>
      </c>
      <c r="B1087" s="11">
        <v>35</v>
      </c>
      <c r="C1087" s="11" t="s">
        <v>72</v>
      </c>
      <c r="D1087" s="11" t="s">
        <v>424</v>
      </c>
      <c r="E1087" s="19">
        <v>16095.27</v>
      </c>
      <c r="F1087" t="s">
        <v>131</v>
      </c>
    </row>
    <row r="1088" spans="1:6" x14ac:dyDescent="0.25">
      <c r="A1088" s="11" t="s">
        <v>276</v>
      </c>
      <c r="B1088" s="11">
        <v>35</v>
      </c>
      <c r="C1088" s="11" t="s">
        <v>72</v>
      </c>
      <c r="D1088" s="11" t="s">
        <v>421</v>
      </c>
      <c r="E1088" s="19">
        <v>100000</v>
      </c>
      <c r="F1088" t="s">
        <v>131</v>
      </c>
    </row>
    <row r="1089" spans="1:6" x14ac:dyDescent="0.25">
      <c r="A1089" s="11" t="s">
        <v>276</v>
      </c>
      <c r="B1089" s="11">
        <v>35</v>
      </c>
      <c r="C1089" s="11" t="s">
        <v>132</v>
      </c>
      <c r="D1089" s="11" t="s">
        <v>197</v>
      </c>
      <c r="E1089" s="19">
        <v>-108673.47</v>
      </c>
      <c r="F1089" t="s">
        <v>133</v>
      </c>
    </row>
    <row r="1090" spans="1:6" x14ac:dyDescent="0.25">
      <c r="A1090" s="11" t="s">
        <v>276</v>
      </c>
      <c r="B1090" s="11">
        <v>35</v>
      </c>
      <c r="C1090" s="11" t="s">
        <v>132</v>
      </c>
      <c r="D1090" s="11" t="s">
        <v>216</v>
      </c>
      <c r="E1090" s="19">
        <v>-40050</v>
      </c>
      <c r="F1090" t="s">
        <v>133</v>
      </c>
    </row>
    <row r="1091" spans="1:6" x14ac:dyDescent="0.25">
      <c r="A1091" s="11" t="s">
        <v>276</v>
      </c>
      <c r="B1091" s="11">
        <v>35</v>
      </c>
      <c r="C1091" s="11" t="s">
        <v>132</v>
      </c>
      <c r="D1091" s="11" t="s">
        <v>424</v>
      </c>
      <c r="E1091" s="19">
        <v>241429.03</v>
      </c>
      <c r="F1091" t="s">
        <v>133</v>
      </c>
    </row>
    <row r="1092" spans="1:6" x14ac:dyDescent="0.25">
      <c r="A1092" s="11" t="s">
        <v>276</v>
      </c>
      <c r="B1092" s="11">
        <v>35</v>
      </c>
      <c r="C1092" s="11" t="s">
        <v>132</v>
      </c>
      <c r="D1092" s="11" t="s">
        <v>421</v>
      </c>
      <c r="E1092" s="19">
        <v>1500000</v>
      </c>
      <c r="F1092" t="s">
        <v>133</v>
      </c>
    </row>
    <row r="1093" spans="1:6" x14ac:dyDescent="0.25">
      <c r="A1093" s="11" t="s">
        <v>276</v>
      </c>
      <c r="B1093" s="11">
        <v>35</v>
      </c>
      <c r="C1093" s="11" t="s">
        <v>134</v>
      </c>
      <c r="D1093" s="11" t="s">
        <v>197</v>
      </c>
      <c r="E1093" s="19">
        <v>-57959.18</v>
      </c>
      <c r="F1093" t="s">
        <v>133</v>
      </c>
    </row>
    <row r="1094" spans="1:6" x14ac:dyDescent="0.25">
      <c r="A1094" s="11" t="s">
        <v>276</v>
      </c>
      <c r="B1094" s="11">
        <v>35</v>
      </c>
      <c r="C1094" s="11" t="s">
        <v>134</v>
      </c>
      <c r="D1094" s="11" t="s">
        <v>216</v>
      </c>
      <c r="E1094" s="19">
        <v>-21360</v>
      </c>
      <c r="F1094" t="s">
        <v>133</v>
      </c>
    </row>
    <row r="1095" spans="1:6" x14ac:dyDescent="0.25">
      <c r="A1095" s="11" t="s">
        <v>276</v>
      </c>
      <c r="B1095" s="11">
        <v>35</v>
      </c>
      <c r="C1095" s="11" t="s">
        <v>134</v>
      </c>
      <c r="D1095" s="11" t="s">
        <v>424</v>
      </c>
      <c r="E1095" s="19">
        <v>128762.15</v>
      </c>
      <c r="F1095" t="s">
        <v>133</v>
      </c>
    </row>
    <row r="1096" spans="1:6" x14ac:dyDescent="0.25">
      <c r="A1096" s="11" t="s">
        <v>276</v>
      </c>
      <c r="B1096" s="11">
        <v>35</v>
      </c>
      <c r="C1096" s="11" t="s">
        <v>134</v>
      </c>
      <c r="D1096" s="11" t="s">
        <v>421</v>
      </c>
      <c r="E1096" s="19">
        <v>800000</v>
      </c>
      <c r="F1096" t="s">
        <v>133</v>
      </c>
    </row>
    <row r="1097" spans="1:6" x14ac:dyDescent="0.25">
      <c r="A1097" s="11" t="s">
        <v>276</v>
      </c>
      <c r="B1097" s="11">
        <v>35</v>
      </c>
      <c r="C1097" s="11" t="s">
        <v>135</v>
      </c>
      <c r="D1097" s="11" t="s">
        <v>197</v>
      </c>
      <c r="E1097" s="19">
        <v>-50714.29</v>
      </c>
      <c r="F1097" t="s">
        <v>133</v>
      </c>
    </row>
    <row r="1098" spans="1:6" x14ac:dyDescent="0.25">
      <c r="A1098" s="11" t="s">
        <v>276</v>
      </c>
      <c r="B1098" s="11">
        <v>35</v>
      </c>
      <c r="C1098" s="11" t="s">
        <v>135</v>
      </c>
      <c r="D1098" s="11" t="s">
        <v>216</v>
      </c>
      <c r="E1098" s="19">
        <v>-18690</v>
      </c>
      <c r="F1098" t="s">
        <v>133</v>
      </c>
    </row>
    <row r="1099" spans="1:6" x14ac:dyDescent="0.25">
      <c r="A1099" s="11" t="s">
        <v>276</v>
      </c>
      <c r="B1099" s="11">
        <v>35</v>
      </c>
      <c r="C1099" s="11" t="s">
        <v>135</v>
      </c>
      <c r="D1099" s="11" t="s">
        <v>424</v>
      </c>
      <c r="E1099" s="19">
        <v>112666.88</v>
      </c>
      <c r="F1099" t="s">
        <v>133</v>
      </c>
    </row>
    <row r="1100" spans="1:6" x14ac:dyDescent="0.25">
      <c r="A1100" s="11" t="s">
        <v>276</v>
      </c>
      <c r="B1100" s="11">
        <v>35</v>
      </c>
      <c r="C1100" s="11" t="s">
        <v>135</v>
      </c>
      <c r="D1100" s="11" t="s">
        <v>421</v>
      </c>
      <c r="E1100" s="19">
        <v>700000</v>
      </c>
      <c r="F1100" t="s">
        <v>133</v>
      </c>
    </row>
    <row r="1101" spans="1:6" x14ac:dyDescent="0.25">
      <c r="A1101" s="11" t="s">
        <v>276</v>
      </c>
      <c r="B1101" s="11">
        <v>35</v>
      </c>
      <c r="C1101" s="11" t="s">
        <v>136</v>
      </c>
      <c r="D1101" s="11" t="s">
        <v>197</v>
      </c>
      <c r="E1101" s="19">
        <v>-36224.49</v>
      </c>
      <c r="F1101" t="s">
        <v>133</v>
      </c>
    </row>
    <row r="1102" spans="1:6" x14ac:dyDescent="0.25">
      <c r="A1102" s="11" t="s">
        <v>276</v>
      </c>
      <c r="B1102" s="11">
        <v>35</v>
      </c>
      <c r="C1102" s="11" t="s">
        <v>136</v>
      </c>
      <c r="D1102" s="11" t="s">
        <v>216</v>
      </c>
      <c r="E1102" s="19">
        <v>-13350</v>
      </c>
      <c r="F1102" t="s">
        <v>133</v>
      </c>
    </row>
    <row r="1103" spans="1:6" x14ac:dyDescent="0.25">
      <c r="A1103" s="11" t="s">
        <v>276</v>
      </c>
      <c r="B1103" s="11">
        <v>35</v>
      </c>
      <c r="C1103" s="11" t="s">
        <v>136</v>
      </c>
      <c r="D1103" s="11" t="s">
        <v>424</v>
      </c>
      <c r="E1103" s="19">
        <v>80476.34</v>
      </c>
      <c r="F1103" t="s">
        <v>133</v>
      </c>
    </row>
    <row r="1104" spans="1:6" x14ac:dyDescent="0.25">
      <c r="A1104" s="11" t="s">
        <v>276</v>
      </c>
      <c r="B1104" s="11">
        <v>35</v>
      </c>
      <c r="C1104" s="11" t="s">
        <v>136</v>
      </c>
      <c r="D1104" s="11" t="s">
        <v>421</v>
      </c>
      <c r="E1104" s="19">
        <v>500000</v>
      </c>
      <c r="F1104" t="s">
        <v>133</v>
      </c>
    </row>
    <row r="1105" spans="1:6" x14ac:dyDescent="0.25">
      <c r="A1105" s="11" t="s">
        <v>276</v>
      </c>
      <c r="B1105" s="11">
        <v>35</v>
      </c>
      <c r="C1105" s="11" t="s">
        <v>137</v>
      </c>
      <c r="D1105" s="11" t="s">
        <v>197</v>
      </c>
      <c r="E1105" s="19">
        <v>-43469.39</v>
      </c>
      <c r="F1105" t="s">
        <v>133</v>
      </c>
    </row>
    <row r="1106" spans="1:6" x14ac:dyDescent="0.25">
      <c r="A1106" s="11" t="s">
        <v>276</v>
      </c>
      <c r="B1106" s="11">
        <v>35</v>
      </c>
      <c r="C1106" s="11" t="s">
        <v>137</v>
      </c>
      <c r="D1106" s="11" t="s">
        <v>216</v>
      </c>
      <c r="E1106" s="19">
        <v>-16020</v>
      </c>
      <c r="F1106" t="s">
        <v>133</v>
      </c>
    </row>
    <row r="1107" spans="1:6" x14ac:dyDescent="0.25">
      <c r="A1107" s="11" t="s">
        <v>276</v>
      </c>
      <c r="B1107" s="11">
        <v>35</v>
      </c>
      <c r="C1107" s="11" t="s">
        <v>137</v>
      </c>
      <c r="D1107" s="11" t="s">
        <v>424</v>
      </c>
      <c r="E1107" s="19">
        <v>96571.61</v>
      </c>
      <c r="F1107" t="s">
        <v>133</v>
      </c>
    </row>
    <row r="1108" spans="1:6" x14ac:dyDescent="0.25">
      <c r="A1108" s="11" t="s">
        <v>276</v>
      </c>
      <c r="B1108" s="11">
        <v>35</v>
      </c>
      <c r="C1108" s="11" t="s">
        <v>137</v>
      </c>
      <c r="D1108" s="11" t="s">
        <v>421</v>
      </c>
      <c r="E1108" s="19">
        <v>600000</v>
      </c>
      <c r="F1108" t="s">
        <v>133</v>
      </c>
    </row>
    <row r="1109" spans="1:6" x14ac:dyDescent="0.25">
      <c r="A1109" s="11" t="s">
        <v>276</v>
      </c>
      <c r="B1109" s="11">
        <v>35</v>
      </c>
      <c r="C1109" s="11" t="s">
        <v>139</v>
      </c>
      <c r="D1109" s="11" t="s">
        <v>197</v>
      </c>
      <c r="E1109" s="19">
        <v>-57959.18</v>
      </c>
      <c r="F1109" t="s">
        <v>133</v>
      </c>
    </row>
    <row r="1110" spans="1:6" x14ac:dyDescent="0.25">
      <c r="A1110" s="11" t="s">
        <v>276</v>
      </c>
      <c r="B1110" s="11">
        <v>35</v>
      </c>
      <c r="C1110" s="11" t="s">
        <v>139</v>
      </c>
      <c r="D1110" s="11" t="s">
        <v>216</v>
      </c>
      <c r="E1110" s="19">
        <v>-21360</v>
      </c>
      <c r="F1110" t="s">
        <v>133</v>
      </c>
    </row>
    <row r="1111" spans="1:6" x14ac:dyDescent="0.25">
      <c r="A1111" s="11" t="s">
        <v>276</v>
      </c>
      <c r="B1111" s="11">
        <v>35</v>
      </c>
      <c r="C1111" s="11" t="s">
        <v>139</v>
      </c>
      <c r="D1111" s="11" t="s">
        <v>424</v>
      </c>
      <c r="E1111" s="19">
        <v>128762.15</v>
      </c>
      <c r="F1111" t="s">
        <v>133</v>
      </c>
    </row>
    <row r="1112" spans="1:6" x14ac:dyDescent="0.25">
      <c r="A1112" s="11" t="s">
        <v>276</v>
      </c>
      <c r="B1112" s="11">
        <v>35</v>
      </c>
      <c r="C1112" s="11" t="s">
        <v>139</v>
      </c>
      <c r="D1112" s="11" t="s">
        <v>421</v>
      </c>
      <c r="E1112" s="19">
        <v>800000</v>
      </c>
      <c r="F1112" t="s">
        <v>133</v>
      </c>
    </row>
    <row r="1113" spans="1:6" x14ac:dyDescent="0.25">
      <c r="A1113" s="11" t="s">
        <v>276</v>
      </c>
      <c r="B1113" s="11">
        <v>35</v>
      </c>
      <c r="C1113" s="11" t="s">
        <v>72</v>
      </c>
      <c r="D1113" s="11" t="s">
        <v>117</v>
      </c>
      <c r="E1113" s="19">
        <v>-22698.99</v>
      </c>
      <c r="F1113" t="s">
        <v>131</v>
      </c>
    </row>
    <row r="1114" spans="1:6" x14ac:dyDescent="0.25">
      <c r="A1114" s="11" t="s">
        <v>276</v>
      </c>
      <c r="B1114" s="11">
        <v>35</v>
      </c>
      <c r="C1114" s="11" t="s">
        <v>132</v>
      </c>
      <c r="D1114" s="11" t="s">
        <v>117</v>
      </c>
      <c r="E1114" s="19">
        <v>-318495.56</v>
      </c>
      <c r="F1114" t="s">
        <v>133</v>
      </c>
    </row>
    <row r="1115" spans="1:6" x14ac:dyDescent="0.25">
      <c r="A1115" s="11" t="s">
        <v>276</v>
      </c>
      <c r="B1115" s="11">
        <v>35</v>
      </c>
      <c r="C1115" s="11" t="s">
        <v>134</v>
      </c>
      <c r="D1115" s="11" t="s">
        <v>117</v>
      </c>
      <c r="E1115" s="19">
        <v>-169864.3</v>
      </c>
      <c r="F1115" t="s">
        <v>133</v>
      </c>
    </row>
    <row r="1116" spans="1:6" x14ac:dyDescent="0.25">
      <c r="A1116" s="11" t="s">
        <v>276</v>
      </c>
      <c r="B1116" s="11">
        <v>35</v>
      </c>
      <c r="C1116" s="11" t="s">
        <v>135</v>
      </c>
      <c r="D1116" s="11" t="s">
        <v>117</v>
      </c>
      <c r="E1116" s="19">
        <v>-148665.5</v>
      </c>
      <c r="F1116" t="s">
        <v>133</v>
      </c>
    </row>
    <row r="1117" spans="1:6" x14ac:dyDescent="0.25">
      <c r="A1117" s="11" t="s">
        <v>276</v>
      </c>
      <c r="B1117" s="11">
        <v>35</v>
      </c>
      <c r="C1117" s="11" t="s">
        <v>136</v>
      </c>
      <c r="D1117" s="11" t="s">
        <v>117</v>
      </c>
      <c r="E1117" s="19">
        <v>-106189.64</v>
      </c>
      <c r="F1117" t="s">
        <v>133</v>
      </c>
    </row>
    <row r="1118" spans="1:6" x14ac:dyDescent="0.25">
      <c r="A1118" s="11" t="s">
        <v>276</v>
      </c>
      <c r="B1118" s="11">
        <v>35</v>
      </c>
      <c r="C1118" s="11" t="s">
        <v>137</v>
      </c>
      <c r="D1118" s="11" t="s">
        <v>117</v>
      </c>
      <c r="E1118" s="19">
        <v>-127430.86</v>
      </c>
      <c r="F1118" t="s">
        <v>133</v>
      </c>
    </row>
    <row r="1119" spans="1:6" x14ac:dyDescent="0.25">
      <c r="A1119" s="11" t="s">
        <v>276</v>
      </c>
      <c r="B1119" s="11">
        <v>35</v>
      </c>
      <c r="C1119" s="11" t="s">
        <v>139</v>
      </c>
      <c r="D1119" s="11" t="s">
        <v>117</v>
      </c>
      <c r="E1119" s="19">
        <v>-169907.83</v>
      </c>
      <c r="F1119" t="s">
        <v>133</v>
      </c>
    </row>
    <row r="1120" spans="1:6" x14ac:dyDescent="0.25">
      <c r="A1120" s="11" t="s">
        <v>276</v>
      </c>
      <c r="B1120" s="11">
        <v>35</v>
      </c>
      <c r="C1120" s="11" t="s">
        <v>422</v>
      </c>
      <c r="D1120" s="11" t="s">
        <v>117</v>
      </c>
      <c r="E1120" s="19">
        <v>1063252.68</v>
      </c>
      <c r="F1120" t="s">
        <v>423</v>
      </c>
    </row>
    <row r="1121" spans="1:6" x14ac:dyDescent="0.25">
      <c r="A1121" s="11" t="s">
        <v>277</v>
      </c>
      <c r="B1121" s="11">
        <v>36</v>
      </c>
      <c r="C1121" s="11" t="s">
        <v>72</v>
      </c>
      <c r="D1121" s="11" t="s">
        <v>216</v>
      </c>
      <c r="E1121" s="19">
        <v>-2670</v>
      </c>
      <c r="F1121" t="s">
        <v>131</v>
      </c>
    </row>
    <row r="1122" spans="1:6" x14ac:dyDescent="0.25">
      <c r="A1122" s="11" t="s">
        <v>277</v>
      </c>
      <c r="B1122" s="11">
        <v>36</v>
      </c>
      <c r="C1122" s="11" t="s">
        <v>72</v>
      </c>
      <c r="D1122" s="11" t="s">
        <v>424</v>
      </c>
      <c r="E1122" s="19">
        <v>16578.13</v>
      </c>
      <c r="F1122" t="s">
        <v>131</v>
      </c>
    </row>
    <row r="1123" spans="1:6" x14ac:dyDescent="0.25">
      <c r="A1123" s="11" t="s">
        <v>277</v>
      </c>
      <c r="B1123" s="11">
        <v>36</v>
      </c>
      <c r="C1123" s="11" t="s">
        <v>132</v>
      </c>
      <c r="D1123" s="11" t="s">
        <v>197</v>
      </c>
      <c r="E1123" s="19">
        <v>-108673.47</v>
      </c>
      <c r="F1123" t="s">
        <v>133</v>
      </c>
    </row>
    <row r="1124" spans="1:6" x14ac:dyDescent="0.25">
      <c r="A1124" s="11" t="s">
        <v>277</v>
      </c>
      <c r="B1124" s="11">
        <v>36</v>
      </c>
      <c r="C1124" s="11" t="s">
        <v>132</v>
      </c>
      <c r="D1124" s="11" t="s">
        <v>216</v>
      </c>
      <c r="E1124" s="19">
        <v>-40050</v>
      </c>
      <c r="F1124" t="s">
        <v>133</v>
      </c>
    </row>
    <row r="1125" spans="1:6" x14ac:dyDescent="0.25">
      <c r="A1125" s="11" t="s">
        <v>277</v>
      </c>
      <c r="B1125" s="11">
        <v>36</v>
      </c>
      <c r="C1125" s="11" t="s">
        <v>132</v>
      </c>
      <c r="D1125" s="11" t="s">
        <v>424</v>
      </c>
      <c r="E1125" s="19">
        <v>248671.9</v>
      </c>
      <c r="F1125" t="s">
        <v>133</v>
      </c>
    </row>
    <row r="1126" spans="1:6" x14ac:dyDescent="0.25">
      <c r="A1126" s="11" t="s">
        <v>277</v>
      </c>
      <c r="B1126" s="11">
        <v>36</v>
      </c>
      <c r="C1126" s="11" t="s">
        <v>134</v>
      </c>
      <c r="D1126" s="11" t="s">
        <v>197</v>
      </c>
      <c r="E1126" s="19">
        <v>-57959.18</v>
      </c>
      <c r="F1126" t="s">
        <v>133</v>
      </c>
    </row>
    <row r="1127" spans="1:6" x14ac:dyDescent="0.25">
      <c r="A1127" s="11" t="s">
        <v>277</v>
      </c>
      <c r="B1127" s="11">
        <v>36</v>
      </c>
      <c r="C1127" s="11" t="s">
        <v>134</v>
      </c>
      <c r="D1127" s="11" t="s">
        <v>216</v>
      </c>
      <c r="E1127" s="19">
        <v>-21360</v>
      </c>
      <c r="F1127" t="s">
        <v>133</v>
      </c>
    </row>
    <row r="1128" spans="1:6" x14ac:dyDescent="0.25">
      <c r="A1128" s="11" t="s">
        <v>277</v>
      </c>
      <c r="B1128" s="11">
        <v>36</v>
      </c>
      <c r="C1128" s="11" t="s">
        <v>134</v>
      </c>
      <c r="D1128" s="11" t="s">
        <v>424</v>
      </c>
      <c r="E1128" s="19">
        <v>132625.01</v>
      </c>
      <c r="F1128" t="s">
        <v>133</v>
      </c>
    </row>
    <row r="1129" spans="1:6" x14ac:dyDescent="0.25">
      <c r="A1129" s="11" t="s">
        <v>277</v>
      </c>
      <c r="B1129" s="11">
        <v>36</v>
      </c>
      <c r="C1129" s="11" t="s">
        <v>135</v>
      </c>
      <c r="D1129" s="11" t="s">
        <v>197</v>
      </c>
      <c r="E1129" s="19">
        <v>-50714.29</v>
      </c>
      <c r="F1129" t="s">
        <v>133</v>
      </c>
    </row>
    <row r="1130" spans="1:6" x14ac:dyDescent="0.25">
      <c r="A1130" s="11" t="s">
        <v>277</v>
      </c>
      <c r="B1130" s="11">
        <v>36</v>
      </c>
      <c r="C1130" s="11" t="s">
        <v>135</v>
      </c>
      <c r="D1130" s="11" t="s">
        <v>216</v>
      </c>
      <c r="E1130" s="19">
        <v>-18690</v>
      </c>
      <c r="F1130" t="s">
        <v>133</v>
      </c>
    </row>
    <row r="1131" spans="1:6" x14ac:dyDescent="0.25">
      <c r="A1131" s="11" t="s">
        <v>277</v>
      </c>
      <c r="B1131" s="11">
        <v>36</v>
      </c>
      <c r="C1131" s="11" t="s">
        <v>135</v>
      </c>
      <c r="D1131" s="11" t="s">
        <v>424</v>
      </c>
      <c r="E1131" s="19">
        <v>116046.89</v>
      </c>
      <c r="F1131" t="s">
        <v>133</v>
      </c>
    </row>
    <row r="1132" spans="1:6" x14ac:dyDescent="0.25">
      <c r="A1132" s="11" t="s">
        <v>277</v>
      </c>
      <c r="B1132" s="11">
        <v>36</v>
      </c>
      <c r="C1132" s="11" t="s">
        <v>136</v>
      </c>
      <c r="D1132" s="11" t="s">
        <v>197</v>
      </c>
      <c r="E1132" s="19">
        <v>-36224.49</v>
      </c>
      <c r="F1132" t="s">
        <v>133</v>
      </c>
    </row>
    <row r="1133" spans="1:6" x14ac:dyDescent="0.25">
      <c r="A1133" s="11" t="s">
        <v>277</v>
      </c>
      <c r="B1133" s="11">
        <v>36</v>
      </c>
      <c r="C1133" s="11" t="s">
        <v>136</v>
      </c>
      <c r="D1133" s="11" t="s">
        <v>216</v>
      </c>
      <c r="E1133" s="19">
        <v>-13350</v>
      </c>
      <c r="F1133" t="s">
        <v>133</v>
      </c>
    </row>
    <row r="1134" spans="1:6" x14ac:dyDescent="0.25">
      <c r="A1134" s="11" t="s">
        <v>277</v>
      </c>
      <c r="B1134" s="11">
        <v>36</v>
      </c>
      <c r="C1134" s="11" t="s">
        <v>136</v>
      </c>
      <c r="D1134" s="11" t="s">
        <v>424</v>
      </c>
      <c r="E1134" s="19">
        <v>82890.63</v>
      </c>
      <c r="F1134" t="s">
        <v>133</v>
      </c>
    </row>
    <row r="1135" spans="1:6" x14ac:dyDescent="0.25">
      <c r="A1135" s="11" t="s">
        <v>277</v>
      </c>
      <c r="B1135" s="11">
        <v>36</v>
      </c>
      <c r="C1135" s="11" t="s">
        <v>137</v>
      </c>
      <c r="D1135" s="11" t="s">
        <v>197</v>
      </c>
      <c r="E1135" s="19">
        <v>-43469.39</v>
      </c>
      <c r="F1135" t="s">
        <v>133</v>
      </c>
    </row>
    <row r="1136" spans="1:6" x14ac:dyDescent="0.25">
      <c r="A1136" s="11" t="s">
        <v>277</v>
      </c>
      <c r="B1136" s="11">
        <v>36</v>
      </c>
      <c r="C1136" s="11" t="s">
        <v>137</v>
      </c>
      <c r="D1136" s="11" t="s">
        <v>216</v>
      </c>
      <c r="E1136" s="19">
        <v>-16020</v>
      </c>
      <c r="F1136" t="s">
        <v>133</v>
      </c>
    </row>
    <row r="1137" spans="1:6" x14ac:dyDescent="0.25">
      <c r="A1137" s="11" t="s">
        <v>277</v>
      </c>
      <c r="B1137" s="11">
        <v>36</v>
      </c>
      <c r="C1137" s="11" t="s">
        <v>137</v>
      </c>
      <c r="D1137" s="11" t="s">
        <v>424</v>
      </c>
      <c r="E1137" s="19">
        <v>99468.76</v>
      </c>
      <c r="F1137" t="s">
        <v>133</v>
      </c>
    </row>
    <row r="1138" spans="1:6" x14ac:dyDescent="0.25">
      <c r="A1138" s="11" t="s">
        <v>277</v>
      </c>
      <c r="B1138" s="11">
        <v>36</v>
      </c>
      <c r="C1138" s="11" t="s">
        <v>139</v>
      </c>
      <c r="D1138" s="11" t="s">
        <v>197</v>
      </c>
      <c r="E1138" s="19">
        <v>-57959.18</v>
      </c>
      <c r="F1138" t="s">
        <v>133</v>
      </c>
    </row>
    <row r="1139" spans="1:6" x14ac:dyDescent="0.25">
      <c r="A1139" s="11" t="s">
        <v>277</v>
      </c>
      <c r="B1139" s="11">
        <v>36</v>
      </c>
      <c r="C1139" s="11" t="s">
        <v>139</v>
      </c>
      <c r="D1139" s="11" t="s">
        <v>216</v>
      </c>
      <c r="E1139" s="19">
        <v>-21360</v>
      </c>
      <c r="F1139" t="s">
        <v>133</v>
      </c>
    </row>
    <row r="1140" spans="1:6" x14ac:dyDescent="0.25">
      <c r="A1140" s="11" t="s">
        <v>277</v>
      </c>
      <c r="B1140" s="11">
        <v>36</v>
      </c>
      <c r="C1140" s="11" t="s">
        <v>139</v>
      </c>
      <c r="D1140" s="11" t="s">
        <v>424</v>
      </c>
      <c r="E1140" s="19">
        <v>132625.01</v>
      </c>
      <c r="F1140" t="s">
        <v>133</v>
      </c>
    </row>
    <row r="1141" spans="1:6" x14ac:dyDescent="0.25">
      <c r="A1141" s="11" t="s">
        <v>277</v>
      </c>
      <c r="B1141" s="11">
        <v>36</v>
      </c>
      <c r="C1141" s="11" t="s">
        <v>72</v>
      </c>
      <c r="D1141" s="11" t="s">
        <v>117</v>
      </c>
      <c r="E1141" s="19">
        <v>-2775.42</v>
      </c>
      <c r="F1141" t="s">
        <v>131</v>
      </c>
    </row>
    <row r="1142" spans="1:6" x14ac:dyDescent="0.25">
      <c r="A1142" s="11" t="s">
        <v>277</v>
      </c>
      <c r="B1142" s="11">
        <v>36</v>
      </c>
      <c r="C1142" s="11" t="s">
        <v>132</v>
      </c>
      <c r="D1142" s="11" t="s">
        <v>117</v>
      </c>
      <c r="E1142" s="19">
        <v>-19989.04</v>
      </c>
      <c r="F1142" t="s">
        <v>133</v>
      </c>
    </row>
    <row r="1143" spans="1:6" x14ac:dyDescent="0.25">
      <c r="A1143" s="11" t="s">
        <v>277</v>
      </c>
      <c r="B1143" s="11">
        <v>36</v>
      </c>
      <c r="C1143" s="11" t="s">
        <v>134</v>
      </c>
      <c r="D1143" s="11" t="s">
        <v>117</v>
      </c>
      <c r="E1143" s="19">
        <v>-10660.82</v>
      </c>
      <c r="F1143" t="s">
        <v>133</v>
      </c>
    </row>
    <row r="1144" spans="1:6" x14ac:dyDescent="0.25">
      <c r="A1144" s="11" t="s">
        <v>277</v>
      </c>
      <c r="B1144" s="11">
        <v>36</v>
      </c>
      <c r="C1144" s="11" t="s">
        <v>135</v>
      </c>
      <c r="D1144" s="11" t="s">
        <v>117</v>
      </c>
      <c r="E1144" s="19">
        <v>-9330.33</v>
      </c>
      <c r="F1144" t="s">
        <v>133</v>
      </c>
    </row>
    <row r="1145" spans="1:6" x14ac:dyDescent="0.25">
      <c r="A1145" s="11" t="s">
        <v>277</v>
      </c>
      <c r="B1145" s="11">
        <v>36</v>
      </c>
      <c r="C1145" s="11" t="s">
        <v>136</v>
      </c>
      <c r="D1145" s="11" t="s">
        <v>117</v>
      </c>
      <c r="E1145" s="19">
        <v>-6664.53</v>
      </c>
      <c r="F1145" t="s">
        <v>133</v>
      </c>
    </row>
    <row r="1146" spans="1:6" x14ac:dyDescent="0.25">
      <c r="A1146" s="11" t="s">
        <v>277</v>
      </c>
      <c r="B1146" s="11">
        <v>36</v>
      </c>
      <c r="C1146" s="11" t="s">
        <v>137</v>
      </c>
      <c r="D1146" s="11" t="s">
        <v>117</v>
      </c>
      <c r="E1146" s="19">
        <v>-7997.63</v>
      </c>
      <c r="F1146" t="s">
        <v>133</v>
      </c>
    </row>
    <row r="1147" spans="1:6" x14ac:dyDescent="0.25">
      <c r="A1147" s="11" t="s">
        <v>277</v>
      </c>
      <c r="B1147" s="11">
        <v>36</v>
      </c>
      <c r="C1147" s="11" t="s">
        <v>139</v>
      </c>
      <c r="D1147" s="11" t="s">
        <v>117</v>
      </c>
      <c r="E1147" s="19">
        <v>-10663.5</v>
      </c>
      <c r="F1147" t="s">
        <v>133</v>
      </c>
    </row>
    <row r="1148" spans="1:6" x14ac:dyDescent="0.25">
      <c r="A1148" s="11" t="s">
        <v>277</v>
      </c>
      <c r="B1148" s="11">
        <v>36</v>
      </c>
      <c r="C1148" s="11" t="s">
        <v>422</v>
      </c>
      <c r="D1148" s="11" t="s">
        <v>117</v>
      </c>
      <c r="E1148" s="19">
        <v>68081.27</v>
      </c>
      <c r="F1148" t="s">
        <v>423</v>
      </c>
    </row>
    <row r="1149" spans="1:6" x14ac:dyDescent="0.25">
      <c r="A1149" s="11" t="s">
        <v>278</v>
      </c>
      <c r="B1149" s="11">
        <v>37</v>
      </c>
      <c r="C1149" s="11" t="s">
        <v>72</v>
      </c>
      <c r="D1149" s="11" t="s">
        <v>425</v>
      </c>
      <c r="E1149" s="19">
        <v>953189.46</v>
      </c>
      <c r="F1149" t="s">
        <v>131</v>
      </c>
    </row>
    <row r="1150" spans="1:6" x14ac:dyDescent="0.25">
      <c r="A1150" s="11" t="s">
        <v>278</v>
      </c>
      <c r="B1150" s="11">
        <v>37</v>
      </c>
      <c r="C1150" s="11" t="s">
        <v>72</v>
      </c>
      <c r="D1150" s="11" t="s">
        <v>216</v>
      </c>
      <c r="E1150" s="19">
        <v>-2670</v>
      </c>
      <c r="F1150" t="s">
        <v>131</v>
      </c>
    </row>
    <row r="1151" spans="1:6" x14ac:dyDescent="0.25">
      <c r="A1151" s="11" t="s">
        <v>278</v>
      </c>
      <c r="B1151" s="11">
        <v>37</v>
      </c>
      <c r="C1151" s="11" t="s">
        <v>72</v>
      </c>
      <c r="D1151" s="11" t="s">
        <v>424</v>
      </c>
      <c r="E1151" s="19">
        <v>17075.47</v>
      </c>
      <c r="F1151" t="s">
        <v>131</v>
      </c>
    </row>
    <row r="1152" spans="1:6" x14ac:dyDescent="0.25">
      <c r="A1152" s="11" t="s">
        <v>278</v>
      </c>
      <c r="B1152" s="11">
        <v>37</v>
      </c>
      <c r="C1152" s="11" t="s">
        <v>72</v>
      </c>
      <c r="D1152" s="11" t="s">
        <v>426</v>
      </c>
      <c r="E1152" s="19">
        <v>360000</v>
      </c>
      <c r="F1152" t="s">
        <v>131</v>
      </c>
    </row>
    <row r="1153" spans="1:6" x14ac:dyDescent="0.25">
      <c r="A1153" s="11" t="s">
        <v>278</v>
      </c>
      <c r="B1153" s="11">
        <v>37</v>
      </c>
      <c r="C1153" s="11" t="s">
        <v>72</v>
      </c>
      <c r="D1153" s="11" t="s">
        <v>421</v>
      </c>
      <c r="E1153" s="19">
        <v>-160000</v>
      </c>
      <c r="F1153" t="s">
        <v>131</v>
      </c>
    </row>
    <row r="1154" spans="1:6" x14ac:dyDescent="0.25">
      <c r="A1154" s="11" t="s">
        <v>278</v>
      </c>
      <c r="B1154" s="11">
        <v>37</v>
      </c>
      <c r="C1154" s="11" t="s">
        <v>132</v>
      </c>
      <c r="D1154" s="11" t="s">
        <v>425</v>
      </c>
      <c r="E1154" s="19">
        <v>13111100.68</v>
      </c>
      <c r="F1154" t="s">
        <v>133</v>
      </c>
    </row>
    <row r="1155" spans="1:6" x14ac:dyDescent="0.25">
      <c r="A1155" s="11" t="s">
        <v>278</v>
      </c>
      <c r="B1155" s="11">
        <v>37</v>
      </c>
      <c r="C1155" s="11" t="s">
        <v>132</v>
      </c>
      <c r="D1155" s="11" t="s">
        <v>197</v>
      </c>
      <c r="E1155" s="19">
        <v>-65816.33</v>
      </c>
      <c r="F1155" t="s">
        <v>133</v>
      </c>
    </row>
    <row r="1156" spans="1:6" x14ac:dyDescent="0.25">
      <c r="A1156" s="11" t="s">
        <v>278</v>
      </c>
      <c r="B1156" s="11">
        <v>37</v>
      </c>
      <c r="C1156" s="11" t="s">
        <v>132</v>
      </c>
      <c r="D1156" s="11" t="s">
        <v>216</v>
      </c>
      <c r="E1156" s="19">
        <v>-40050</v>
      </c>
      <c r="F1156" t="s">
        <v>133</v>
      </c>
    </row>
    <row r="1157" spans="1:6" x14ac:dyDescent="0.25">
      <c r="A1157" s="11" t="s">
        <v>278</v>
      </c>
      <c r="B1157" s="11">
        <v>37</v>
      </c>
      <c r="C1157" s="11" t="s">
        <v>132</v>
      </c>
      <c r="D1157" s="11" t="s">
        <v>424</v>
      </c>
      <c r="E1157" s="19">
        <v>256132.06</v>
      </c>
      <c r="F1157" t="s">
        <v>133</v>
      </c>
    </row>
    <row r="1158" spans="1:6" x14ac:dyDescent="0.25">
      <c r="A1158" s="11" t="s">
        <v>278</v>
      </c>
      <c r="B1158" s="11">
        <v>37</v>
      </c>
      <c r="C1158" s="11" t="s">
        <v>132</v>
      </c>
      <c r="D1158" s="11" t="s">
        <v>426</v>
      </c>
      <c r="E1158" s="19">
        <v>5400000</v>
      </c>
      <c r="F1158" t="s">
        <v>133</v>
      </c>
    </row>
    <row r="1159" spans="1:6" x14ac:dyDescent="0.25">
      <c r="A1159" s="11" t="s">
        <v>278</v>
      </c>
      <c r="B1159" s="11">
        <v>37</v>
      </c>
      <c r="C1159" s="11" t="s">
        <v>132</v>
      </c>
      <c r="D1159" s="11" t="s">
        <v>421</v>
      </c>
      <c r="E1159" s="19">
        <v>-2400000</v>
      </c>
      <c r="F1159" t="s">
        <v>133</v>
      </c>
    </row>
    <row r="1160" spans="1:6" x14ac:dyDescent="0.25">
      <c r="A1160" s="11" t="s">
        <v>278</v>
      </c>
      <c r="B1160" s="11">
        <v>37</v>
      </c>
      <c r="C1160" s="11" t="s">
        <v>134</v>
      </c>
      <c r="D1160" s="11" t="s">
        <v>425</v>
      </c>
      <c r="E1160" s="19">
        <v>6992587.04</v>
      </c>
      <c r="F1160" t="s">
        <v>133</v>
      </c>
    </row>
    <row r="1161" spans="1:6" x14ac:dyDescent="0.25">
      <c r="A1161" s="11" t="s">
        <v>278</v>
      </c>
      <c r="B1161" s="11">
        <v>37</v>
      </c>
      <c r="C1161" s="11" t="s">
        <v>134</v>
      </c>
      <c r="D1161" s="11" t="s">
        <v>197</v>
      </c>
      <c r="E1161" s="19">
        <v>-35102.04</v>
      </c>
      <c r="F1161" t="s">
        <v>133</v>
      </c>
    </row>
    <row r="1162" spans="1:6" x14ac:dyDescent="0.25">
      <c r="A1162" s="11" t="s">
        <v>278</v>
      </c>
      <c r="B1162" s="11">
        <v>37</v>
      </c>
      <c r="C1162" s="11" t="s">
        <v>134</v>
      </c>
      <c r="D1162" s="11" t="s">
        <v>216</v>
      </c>
      <c r="E1162" s="19">
        <v>-21360</v>
      </c>
      <c r="F1162" t="s">
        <v>133</v>
      </c>
    </row>
    <row r="1163" spans="1:6" x14ac:dyDescent="0.25">
      <c r="A1163" s="11" t="s">
        <v>278</v>
      </c>
      <c r="B1163" s="11">
        <v>37</v>
      </c>
      <c r="C1163" s="11" t="s">
        <v>134</v>
      </c>
      <c r="D1163" s="11" t="s">
        <v>424</v>
      </c>
      <c r="E1163" s="19">
        <v>136603.76</v>
      </c>
      <c r="F1163" t="s">
        <v>133</v>
      </c>
    </row>
    <row r="1164" spans="1:6" x14ac:dyDescent="0.25">
      <c r="A1164" s="11" t="s">
        <v>278</v>
      </c>
      <c r="B1164" s="11">
        <v>37</v>
      </c>
      <c r="C1164" s="11" t="s">
        <v>134</v>
      </c>
      <c r="D1164" s="11" t="s">
        <v>426</v>
      </c>
      <c r="E1164" s="19">
        <v>2880000</v>
      </c>
      <c r="F1164" t="s">
        <v>133</v>
      </c>
    </row>
    <row r="1165" spans="1:6" x14ac:dyDescent="0.25">
      <c r="A1165" s="11" t="s">
        <v>278</v>
      </c>
      <c r="B1165" s="11">
        <v>37</v>
      </c>
      <c r="C1165" s="11" t="s">
        <v>134</v>
      </c>
      <c r="D1165" s="11" t="s">
        <v>421</v>
      </c>
      <c r="E1165" s="19">
        <v>-1280000</v>
      </c>
      <c r="F1165" t="s">
        <v>133</v>
      </c>
    </row>
    <row r="1166" spans="1:6" x14ac:dyDescent="0.25">
      <c r="A1166" s="11" t="s">
        <v>278</v>
      </c>
      <c r="B1166" s="11">
        <v>37</v>
      </c>
      <c r="C1166" s="11" t="s">
        <v>135</v>
      </c>
      <c r="D1166" s="11" t="s">
        <v>425</v>
      </c>
      <c r="E1166" s="19">
        <v>6225725.4299999997</v>
      </c>
      <c r="F1166" t="s">
        <v>133</v>
      </c>
    </row>
    <row r="1167" spans="1:6" x14ac:dyDescent="0.25">
      <c r="A1167" s="11" t="s">
        <v>278</v>
      </c>
      <c r="B1167" s="11">
        <v>37</v>
      </c>
      <c r="C1167" s="11" t="s">
        <v>135</v>
      </c>
      <c r="D1167" s="11" t="s">
        <v>197</v>
      </c>
      <c r="E1167" s="19">
        <v>-30714.29</v>
      </c>
      <c r="F1167" t="s">
        <v>133</v>
      </c>
    </row>
    <row r="1168" spans="1:6" x14ac:dyDescent="0.25">
      <c r="A1168" s="11" t="s">
        <v>278</v>
      </c>
      <c r="B1168" s="11">
        <v>37</v>
      </c>
      <c r="C1168" s="11" t="s">
        <v>135</v>
      </c>
      <c r="D1168" s="11" t="s">
        <v>216</v>
      </c>
      <c r="E1168" s="19">
        <v>-18690</v>
      </c>
      <c r="F1168" t="s">
        <v>133</v>
      </c>
    </row>
    <row r="1169" spans="1:6" x14ac:dyDescent="0.25">
      <c r="A1169" s="11" t="s">
        <v>278</v>
      </c>
      <c r="B1169" s="11">
        <v>37</v>
      </c>
      <c r="C1169" s="11" t="s">
        <v>135</v>
      </c>
      <c r="D1169" s="11" t="s">
        <v>424</v>
      </c>
      <c r="E1169" s="19">
        <v>119528.29</v>
      </c>
      <c r="F1169" t="s">
        <v>133</v>
      </c>
    </row>
    <row r="1170" spans="1:6" x14ac:dyDescent="0.25">
      <c r="A1170" s="11" t="s">
        <v>278</v>
      </c>
      <c r="B1170" s="11">
        <v>37</v>
      </c>
      <c r="C1170" s="11" t="s">
        <v>135</v>
      </c>
      <c r="D1170" s="11" t="s">
        <v>426</v>
      </c>
      <c r="E1170" s="19">
        <v>2520000</v>
      </c>
      <c r="F1170" t="s">
        <v>133</v>
      </c>
    </row>
    <row r="1171" spans="1:6" x14ac:dyDescent="0.25">
      <c r="A1171" s="11" t="s">
        <v>278</v>
      </c>
      <c r="B1171" s="11">
        <v>37</v>
      </c>
      <c r="C1171" s="11" t="s">
        <v>135</v>
      </c>
      <c r="D1171" s="11" t="s">
        <v>421</v>
      </c>
      <c r="E1171" s="19">
        <v>-1120000</v>
      </c>
      <c r="F1171" t="s">
        <v>133</v>
      </c>
    </row>
    <row r="1172" spans="1:6" x14ac:dyDescent="0.25">
      <c r="A1172" s="11" t="s">
        <v>278</v>
      </c>
      <c r="B1172" s="11">
        <v>37</v>
      </c>
      <c r="C1172" s="11" t="s">
        <v>136</v>
      </c>
      <c r="D1172" s="11" t="s">
        <v>425</v>
      </c>
      <c r="E1172" s="19">
        <v>4446946.74</v>
      </c>
      <c r="F1172" t="s">
        <v>133</v>
      </c>
    </row>
    <row r="1173" spans="1:6" x14ac:dyDescent="0.25">
      <c r="A1173" s="11" t="s">
        <v>278</v>
      </c>
      <c r="B1173" s="11">
        <v>37</v>
      </c>
      <c r="C1173" s="11" t="s">
        <v>136</v>
      </c>
      <c r="D1173" s="11" t="s">
        <v>197</v>
      </c>
      <c r="E1173" s="19">
        <v>-21938.78</v>
      </c>
      <c r="F1173" t="s">
        <v>133</v>
      </c>
    </row>
    <row r="1174" spans="1:6" x14ac:dyDescent="0.25">
      <c r="A1174" s="11" t="s">
        <v>278</v>
      </c>
      <c r="B1174" s="11">
        <v>37</v>
      </c>
      <c r="C1174" s="11" t="s">
        <v>136</v>
      </c>
      <c r="D1174" s="11" t="s">
        <v>216</v>
      </c>
      <c r="E1174" s="19">
        <v>-13350</v>
      </c>
      <c r="F1174" t="s">
        <v>133</v>
      </c>
    </row>
    <row r="1175" spans="1:6" x14ac:dyDescent="0.25">
      <c r="A1175" s="11" t="s">
        <v>278</v>
      </c>
      <c r="B1175" s="11">
        <v>37</v>
      </c>
      <c r="C1175" s="11" t="s">
        <v>136</v>
      </c>
      <c r="D1175" s="11" t="s">
        <v>424</v>
      </c>
      <c r="E1175" s="19">
        <v>85377.35</v>
      </c>
      <c r="F1175" t="s">
        <v>133</v>
      </c>
    </row>
    <row r="1176" spans="1:6" x14ac:dyDescent="0.25">
      <c r="A1176" s="11" t="s">
        <v>278</v>
      </c>
      <c r="B1176" s="11">
        <v>37</v>
      </c>
      <c r="C1176" s="11" t="s">
        <v>136</v>
      </c>
      <c r="D1176" s="11" t="s">
        <v>426</v>
      </c>
      <c r="E1176" s="19">
        <v>1800000</v>
      </c>
      <c r="F1176" t="s">
        <v>133</v>
      </c>
    </row>
    <row r="1177" spans="1:6" x14ac:dyDescent="0.25">
      <c r="A1177" s="11" t="s">
        <v>278</v>
      </c>
      <c r="B1177" s="11">
        <v>37</v>
      </c>
      <c r="C1177" s="11" t="s">
        <v>136</v>
      </c>
      <c r="D1177" s="11" t="s">
        <v>421</v>
      </c>
      <c r="E1177" s="19">
        <v>-800000</v>
      </c>
      <c r="F1177" t="s">
        <v>133</v>
      </c>
    </row>
    <row r="1178" spans="1:6" x14ac:dyDescent="0.25">
      <c r="A1178" s="11" t="s">
        <v>278</v>
      </c>
      <c r="B1178" s="11">
        <v>37</v>
      </c>
      <c r="C1178" s="11" t="s">
        <v>137</v>
      </c>
      <c r="D1178" s="11" t="s">
        <v>425</v>
      </c>
      <c r="E1178" s="19">
        <v>5344478.84</v>
      </c>
      <c r="F1178" t="s">
        <v>133</v>
      </c>
    </row>
    <row r="1179" spans="1:6" x14ac:dyDescent="0.25">
      <c r="A1179" s="11" t="s">
        <v>278</v>
      </c>
      <c r="B1179" s="11">
        <v>37</v>
      </c>
      <c r="C1179" s="11" t="s">
        <v>137</v>
      </c>
      <c r="D1179" s="11" t="s">
        <v>197</v>
      </c>
      <c r="E1179" s="19">
        <v>-26326.53</v>
      </c>
      <c r="F1179" t="s">
        <v>133</v>
      </c>
    </row>
    <row r="1180" spans="1:6" x14ac:dyDescent="0.25">
      <c r="A1180" s="11" t="s">
        <v>278</v>
      </c>
      <c r="B1180" s="11">
        <v>37</v>
      </c>
      <c r="C1180" s="11" t="s">
        <v>137</v>
      </c>
      <c r="D1180" s="11" t="s">
        <v>216</v>
      </c>
      <c r="E1180" s="19">
        <v>-16020</v>
      </c>
      <c r="F1180" t="s">
        <v>133</v>
      </c>
    </row>
    <row r="1181" spans="1:6" x14ac:dyDescent="0.25">
      <c r="A1181" s="11" t="s">
        <v>278</v>
      </c>
      <c r="B1181" s="11">
        <v>37</v>
      </c>
      <c r="C1181" s="11" t="s">
        <v>137</v>
      </c>
      <c r="D1181" s="11" t="s">
        <v>424</v>
      </c>
      <c r="E1181" s="19">
        <v>102452.82</v>
      </c>
      <c r="F1181" t="s">
        <v>133</v>
      </c>
    </row>
    <row r="1182" spans="1:6" x14ac:dyDescent="0.25">
      <c r="A1182" s="11" t="s">
        <v>278</v>
      </c>
      <c r="B1182" s="11">
        <v>37</v>
      </c>
      <c r="C1182" s="11" t="s">
        <v>137</v>
      </c>
      <c r="D1182" s="11" t="s">
        <v>426</v>
      </c>
      <c r="E1182" s="19">
        <v>2160000</v>
      </c>
      <c r="F1182" t="s">
        <v>133</v>
      </c>
    </row>
    <row r="1183" spans="1:6" x14ac:dyDescent="0.25">
      <c r="A1183" s="11" t="s">
        <v>278</v>
      </c>
      <c r="B1183" s="11">
        <v>37</v>
      </c>
      <c r="C1183" s="11" t="s">
        <v>137</v>
      </c>
      <c r="D1183" s="11" t="s">
        <v>421</v>
      </c>
      <c r="E1183" s="19">
        <v>-960000</v>
      </c>
      <c r="F1183" t="s">
        <v>133</v>
      </c>
    </row>
    <row r="1184" spans="1:6" x14ac:dyDescent="0.25">
      <c r="A1184" s="11" t="s">
        <v>278</v>
      </c>
      <c r="B1184" s="11">
        <v>37</v>
      </c>
      <c r="C1184" s="11" t="s">
        <v>139</v>
      </c>
      <c r="D1184" s="11" t="s">
        <v>425</v>
      </c>
      <c r="E1184" s="19">
        <v>7125971.8099999996</v>
      </c>
      <c r="F1184" t="s">
        <v>133</v>
      </c>
    </row>
    <row r="1185" spans="1:6" x14ac:dyDescent="0.25">
      <c r="A1185" s="11" t="s">
        <v>278</v>
      </c>
      <c r="B1185" s="11">
        <v>37</v>
      </c>
      <c r="C1185" s="11" t="s">
        <v>139</v>
      </c>
      <c r="D1185" s="11" t="s">
        <v>197</v>
      </c>
      <c r="E1185" s="19">
        <v>-35102.03</v>
      </c>
      <c r="F1185" t="s">
        <v>133</v>
      </c>
    </row>
    <row r="1186" spans="1:6" x14ac:dyDescent="0.25">
      <c r="A1186" s="11" t="s">
        <v>278</v>
      </c>
      <c r="B1186" s="11">
        <v>37</v>
      </c>
      <c r="C1186" s="11" t="s">
        <v>139</v>
      </c>
      <c r="D1186" s="11" t="s">
        <v>216</v>
      </c>
      <c r="E1186" s="19">
        <v>-21360</v>
      </c>
      <c r="F1186" t="s">
        <v>133</v>
      </c>
    </row>
    <row r="1187" spans="1:6" x14ac:dyDescent="0.25">
      <c r="A1187" s="11" t="s">
        <v>278</v>
      </c>
      <c r="B1187" s="11">
        <v>37</v>
      </c>
      <c r="C1187" s="11" t="s">
        <v>139</v>
      </c>
      <c r="D1187" s="11" t="s">
        <v>424</v>
      </c>
      <c r="E1187" s="19">
        <v>136603.76999999999</v>
      </c>
      <c r="F1187" t="s">
        <v>133</v>
      </c>
    </row>
    <row r="1188" spans="1:6" x14ac:dyDescent="0.25">
      <c r="A1188" s="11" t="s">
        <v>278</v>
      </c>
      <c r="B1188" s="11">
        <v>37</v>
      </c>
      <c r="C1188" s="11" t="s">
        <v>139</v>
      </c>
      <c r="D1188" s="11" t="s">
        <v>426</v>
      </c>
      <c r="E1188" s="19">
        <v>2880000</v>
      </c>
      <c r="F1188" t="s">
        <v>133</v>
      </c>
    </row>
    <row r="1189" spans="1:6" x14ac:dyDescent="0.25">
      <c r="A1189" s="11" t="s">
        <v>278</v>
      </c>
      <c r="B1189" s="11">
        <v>37</v>
      </c>
      <c r="C1189" s="11" t="s">
        <v>139</v>
      </c>
      <c r="D1189" s="11" t="s">
        <v>421</v>
      </c>
      <c r="E1189" s="19">
        <v>-1280000</v>
      </c>
      <c r="F1189" t="s">
        <v>133</v>
      </c>
    </row>
    <row r="1190" spans="1:6" x14ac:dyDescent="0.25">
      <c r="A1190" s="11" t="s">
        <v>278</v>
      </c>
      <c r="B1190" s="11">
        <v>37</v>
      </c>
      <c r="C1190" s="11" t="s">
        <v>72</v>
      </c>
      <c r="D1190" s="11" t="s">
        <v>117</v>
      </c>
      <c r="E1190" s="19">
        <v>-42916.27</v>
      </c>
      <c r="F1190" t="s">
        <v>131</v>
      </c>
    </row>
    <row r="1191" spans="1:6" x14ac:dyDescent="0.25">
      <c r="A1191" s="11" t="s">
        <v>278</v>
      </c>
      <c r="B1191" s="11">
        <v>37</v>
      </c>
      <c r="C1191" s="11" t="s">
        <v>132</v>
      </c>
      <c r="D1191" s="11" t="s">
        <v>117</v>
      </c>
      <c r="E1191" s="19">
        <v>-629968.30000000005</v>
      </c>
      <c r="F1191" t="s">
        <v>133</v>
      </c>
    </row>
    <row r="1192" spans="1:6" x14ac:dyDescent="0.25">
      <c r="A1192" s="11" t="s">
        <v>278</v>
      </c>
      <c r="B1192" s="11">
        <v>37</v>
      </c>
      <c r="C1192" s="11" t="s">
        <v>134</v>
      </c>
      <c r="D1192" s="11" t="s">
        <v>117</v>
      </c>
      <c r="E1192" s="19">
        <v>-335983.1</v>
      </c>
      <c r="F1192" t="s">
        <v>133</v>
      </c>
    </row>
    <row r="1193" spans="1:6" x14ac:dyDescent="0.25">
      <c r="A1193" s="11" t="s">
        <v>278</v>
      </c>
      <c r="B1193" s="11">
        <v>37</v>
      </c>
      <c r="C1193" s="11" t="s">
        <v>135</v>
      </c>
      <c r="D1193" s="11" t="s">
        <v>117</v>
      </c>
      <c r="E1193" s="19">
        <v>-294046.65000000002</v>
      </c>
      <c r="F1193" t="s">
        <v>133</v>
      </c>
    </row>
    <row r="1194" spans="1:6" x14ac:dyDescent="0.25">
      <c r="A1194" s="11" t="s">
        <v>278</v>
      </c>
      <c r="B1194" s="11">
        <v>37</v>
      </c>
      <c r="C1194" s="11" t="s">
        <v>136</v>
      </c>
      <c r="D1194" s="11" t="s">
        <v>117</v>
      </c>
      <c r="E1194" s="19">
        <v>-210033.31</v>
      </c>
      <c r="F1194" t="s">
        <v>133</v>
      </c>
    </row>
    <row r="1195" spans="1:6" x14ac:dyDescent="0.25">
      <c r="A1195" s="11" t="s">
        <v>278</v>
      </c>
      <c r="B1195" s="11">
        <v>37</v>
      </c>
      <c r="C1195" s="11" t="s">
        <v>137</v>
      </c>
      <c r="D1195" s="11" t="s">
        <v>117</v>
      </c>
      <c r="E1195" s="19">
        <v>-252045.89</v>
      </c>
      <c r="F1195" t="s">
        <v>133</v>
      </c>
    </row>
    <row r="1196" spans="1:6" x14ac:dyDescent="0.25">
      <c r="A1196" s="11" t="s">
        <v>278</v>
      </c>
      <c r="B1196" s="11">
        <v>37</v>
      </c>
      <c r="C1196" s="11" t="s">
        <v>139</v>
      </c>
      <c r="D1196" s="11" t="s">
        <v>117</v>
      </c>
      <c r="E1196" s="19">
        <v>-336061.18</v>
      </c>
      <c r="F1196" t="s">
        <v>133</v>
      </c>
    </row>
    <row r="1197" spans="1:6" x14ac:dyDescent="0.25">
      <c r="A1197" s="11" t="s">
        <v>278</v>
      </c>
      <c r="B1197" s="11">
        <v>37</v>
      </c>
      <c r="C1197" s="11" t="s">
        <v>422</v>
      </c>
      <c r="D1197" s="11" t="s">
        <v>117</v>
      </c>
      <c r="E1197" s="19">
        <v>2101054.7000000002</v>
      </c>
      <c r="F1197" t="s">
        <v>423</v>
      </c>
    </row>
    <row r="1198" spans="1:6" x14ac:dyDescent="0.25">
      <c r="A1198" s="11" t="s">
        <v>279</v>
      </c>
      <c r="B1198" s="11">
        <v>38</v>
      </c>
      <c r="C1198" s="11" t="s">
        <v>72</v>
      </c>
      <c r="D1198" s="11" t="s">
        <v>216</v>
      </c>
      <c r="E1198" s="19">
        <v>-2670</v>
      </c>
      <c r="F1198" t="s">
        <v>131</v>
      </c>
    </row>
    <row r="1199" spans="1:6" x14ac:dyDescent="0.25">
      <c r="A1199" s="11" t="s">
        <v>279</v>
      </c>
      <c r="B1199" s="11">
        <v>38</v>
      </c>
      <c r="C1199" s="11" t="s">
        <v>72</v>
      </c>
      <c r="D1199" s="11" t="s">
        <v>424</v>
      </c>
      <c r="E1199" s="19">
        <v>17587.73</v>
      </c>
      <c r="F1199" t="s">
        <v>131</v>
      </c>
    </row>
    <row r="1200" spans="1:6" x14ac:dyDescent="0.25">
      <c r="A1200" s="11" t="s">
        <v>279</v>
      </c>
      <c r="B1200" s="11">
        <v>38</v>
      </c>
      <c r="C1200" s="11" t="s">
        <v>132</v>
      </c>
      <c r="D1200" s="11" t="s">
        <v>197</v>
      </c>
      <c r="E1200" s="19">
        <v>-65816.33</v>
      </c>
      <c r="F1200" t="s">
        <v>133</v>
      </c>
    </row>
    <row r="1201" spans="1:6" x14ac:dyDescent="0.25">
      <c r="A1201" s="11" t="s">
        <v>279</v>
      </c>
      <c r="B1201" s="11">
        <v>38</v>
      </c>
      <c r="C1201" s="11" t="s">
        <v>132</v>
      </c>
      <c r="D1201" s="11" t="s">
        <v>216</v>
      </c>
      <c r="E1201" s="19">
        <v>-40050</v>
      </c>
      <c r="F1201" t="s">
        <v>133</v>
      </c>
    </row>
    <row r="1202" spans="1:6" x14ac:dyDescent="0.25">
      <c r="A1202" s="11" t="s">
        <v>279</v>
      </c>
      <c r="B1202" s="11">
        <v>38</v>
      </c>
      <c r="C1202" s="11" t="s">
        <v>132</v>
      </c>
      <c r="D1202" s="11" t="s">
        <v>424</v>
      </c>
      <c r="E1202" s="19">
        <v>263816.02</v>
      </c>
      <c r="F1202" s="11" t="s">
        <v>133</v>
      </c>
    </row>
    <row r="1203" spans="1:6" x14ac:dyDescent="0.25">
      <c r="A1203" s="11" t="s">
        <v>279</v>
      </c>
      <c r="B1203" s="11">
        <v>38</v>
      </c>
      <c r="C1203" s="11" t="s">
        <v>134</v>
      </c>
      <c r="D1203" s="11" t="s">
        <v>197</v>
      </c>
      <c r="E1203" s="19">
        <v>-35102.04</v>
      </c>
      <c r="F1203" s="11" t="s">
        <v>133</v>
      </c>
    </row>
    <row r="1204" spans="1:6" x14ac:dyDescent="0.25">
      <c r="A1204" s="11" t="s">
        <v>279</v>
      </c>
      <c r="B1204" s="11">
        <v>38</v>
      </c>
      <c r="C1204" s="11" t="s">
        <v>134</v>
      </c>
      <c r="D1204" s="11" t="s">
        <v>216</v>
      </c>
      <c r="E1204" s="19">
        <v>-21360</v>
      </c>
      <c r="F1204" s="11" t="s">
        <v>133</v>
      </c>
    </row>
    <row r="1205" spans="1:6" x14ac:dyDescent="0.25">
      <c r="A1205" s="11" t="s">
        <v>279</v>
      </c>
      <c r="B1205" s="11">
        <v>38</v>
      </c>
      <c r="C1205" s="11" t="s">
        <v>134</v>
      </c>
      <c r="D1205" s="11" t="s">
        <v>424</v>
      </c>
      <c r="E1205" s="19">
        <v>140701.88</v>
      </c>
      <c r="F1205" s="11" t="s">
        <v>133</v>
      </c>
    </row>
    <row r="1206" spans="1:6" x14ac:dyDescent="0.25">
      <c r="A1206" s="11" t="s">
        <v>279</v>
      </c>
      <c r="B1206" s="11">
        <v>38</v>
      </c>
      <c r="C1206" s="11" t="s">
        <v>135</v>
      </c>
      <c r="D1206" s="11" t="s">
        <v>197</v>
      </c>
      <c r="E1206" s="19">
        <v>-30714.29</v>
      </c>
      <c r="F1206" s="11" t="s">
        <v>133</v>
      </c>
    </row>
    <row r="1207" spans="1:6" x14ac:dyDescent="0.25">
      <c r="A1207" s="11" t="s">
        <v>279</v>
      </c>
      <c r="B1207" s="11">
        <v>38</v>
      </c>
      <c r="C1207" s="11" t="s">
        <v>135</v>
      </c>
      <c r="D1207" s="11" t="s">
        <v>216</v>
      </c>
      <c r="E1207" s="19">
        <v>-18690</v>
      </c>
      <c r="F1207" s="11" t="s">
        <v>133</v>
      </c>
    </row>
    <row r="1208" spans="1:6" x14ac:dyDescent="0.25">
      <c r="A1208" s="11" t="s">
        <v>279</v>
      </c>
      <c r="B1208" s="11">
        <v>38</v>
      </c>
      <c r="C1208" s="11" t="s">
        <v>135</v>
      </c>
      <c r="D1208" s="11" t="s">
        <v>424</v>
      </c>
      <c r="E1208" s="19">
        <v>123114.14</v>
      </c>
      <c r="F1208" s="11" t="s">
        <v>133</v>
      </c>
    </row>
    <row r="1209" spans="1:6" x14ac:dyDescent="0.25">
      <c r="A1209" s="11" t="s">
        <v>279</v>
      </c>
      <c r="B1209" s="11">
        <v>38</v>
      </c>
      <c r="C1209" s="11" t="s">
        <v>136</v>
      </c>
      <c r="D1209" s="11" t="s">
        <v>197</v>
      </c>
      <c r="E1209" s="19">
        <v>-21938.78</v>
      </c>
      <c r="F1209" s="11" t="s">
        <v>133</v>
      </c>
    </row>
    <row r="1210" spans="1:6" x14ac:dyDescent="0.25">
      <c r="A1210" s="11" t="s">
        <v>279</v>
      </c>
      <c r="B1210" s="11">
        <v>38</v>
      </c>
      <c r="C1210" s="11" t="s">
        <v>136</v>
      </c>
      <c r="D1210" s="11" t="s">
        <v>216</v>
      </c>
      <c r="E1210" s="19">
        <v>-13350</v>
      </c>
      <c r="F1210" s="11" t="s">
        <v>133</v>
      </c>
    </row>
    <row r="1211" spans="1:6" x14ac:dyDescent="0.25">
      <c r="A1211" s="11" t="s">
        <v>279</v>
      </c>
      <c r="B1211" s="11">
        <v>38</v>
      </c>
      <c r="C1211" s="11" t="s">
        <v>136</v>
      </c>
      <c r="D1211" s="11" t="s">
        <v>424</v>
      </c>
      <c r="E1211" s="19">
        <v>87938.67</v>
      </c>
      <c r="F1211" s="11" t="s">
        <v>133</v>
      </c>
    </row>
    <row r="1212" spans="1:6" x14ac:dyDescent="0.25">
      <c r="A1212" s="11" t="s">
        <v>279</v>
      </c>
      <c r="B1212" s="11">
        <v>38</v>
      </c>
      <c r="C1212" s="11" t="s">
        <v>137</v>
      </c>
      <c r="D1212" s="11" t="s">
        <v>197</v>
      </c>
      <c r="E1212" s="19">
        <v>-26326.53</v>
      </c>
      <c r="F1212" s="11" t="s">
        <v>133</v>
      </c>
    </row>
    <row r="1213" spans="1:6" x14ac:dyDescent="0.25">
      <c r="A1213" s="11" t="s">
        <v>279</v>
      </c>
      <c r="B1213" s="11">
        <v>38</v>
      </c>
      <c r="C1213" s="11" t="s">
        <v>137</v>
      </c>
      <c r="D1213" s="11" t="s">
        <v>216</v>
      </c>
      <c r="E1213" s="19">
        <v>-16020</v>
      </c>
      <c r="F1213" s="11" t="s">
        <v>133</v>
      </c>
    </row>
    <row r="1214" spans="1:6" x14ac:dyDescent="0.25">
      <c r="A1214" s="11" t="s">
        <v>279</v>
      </c>
      <c r="B1214" s="11">
        <v>38</v>
      </c>
      <c r="C1214" s="11" t="s">
        <v>137</v>
      </c>
      <c r="D1214" s="11" t="s">
        <v>424</v>
      </c>
      <c r="E1214" s="19">
        <v>105526.41</v>
      </c>
      <c r="F1214" s="11" t="s">
        <v>133</v>
      </c>
    </row>
    <row r="1215" spans="1:6" x14ac:dyDescent="0.25">
      <c r="A1215" s="11" t="s">
        <v>279</v>
      </c>
      <c r="B1215" s="11">
        <v>38</v>
      </c>
      <c r="C1215" s="11" t="s">
        <v>139</v>
      </c>
      <c r="D1215" s="11" t="s">
        <v>197</v>
      </c>
      <c r="E1215" s="19">
        <v>-35102.03</v>
      </c>
      <c r="F1215" s="11" t="s">
        <v>133</v>
      </c>
    </row>
    <row r="1216" spans="1:6" x14ac:dyDescent="0.25">
      <c r="A1216" s="11" t="s">
        <v>279</v>
      </c>
      <c r="B1216" s="11">
        <v>38</v>
      </c>
      <c r="C1216" s="11" t="s">
        <v>139</v>
      </c>
      <c r="D1216" s="11" t="s">
        <v>216</v>
      </c>
      <c r="E1216" s="19">
        <v>-21360</v>
      </c>
      <c r="F1216" s="11" t="s">
        <v>133</v>
      </c>
    </row>
    <row r="1217" spans="1:6" x14ac:dyDescent="0.25">
      <c r="A1217" s="11" t="s">
        <v>279</v>
      </c>
      <c r="B1217" s="11">
        <v>38</v>
      </c>
      <c r="C1217" s="11" t="s">
        <v>139</v>
      </c>
      <c r="D1217" s="11" t="s">
        <v>424</v>
      </c>
      <c r="E1217" s="19">
        <v>140701.88</v>
      </c>
      <c r="F1217" s="11" t="s">
        <v>133</v>
      </c>
    </row>
    <row r="1218" spans="1:6" x14ac:dyDescent="0.25">
      <c r="A1218" s="11" t="s">
        <v>279</v>
      </c>
      <c r="B1218" s="11">
        <v>38</v>
      </c>
      <c r="C1218" s="11" t="s">
        <v>72</v>
      </c>
      <c r="D1218" s="11" t="s">
        <v>117</v>
      </c>
      <c r="E1218" s="19">
        <v>-2981.14</v>
      </c>
      <c r="F1218" s="11" t="s">
        <v>131</v>
      </c>
    </row>
    <row r="1219" spans="1:6" x14ac:dyDescent="0.25">
      <c r="A1219" s="11" t="s">
        <v>279</v>
      </c>
      <c r="B1219" s="11">
        <v>38</v>
      </c>
      <c r="C1219" s="11" t="s">
        <v>132</v>
      </c>
      <c r="D1219" s="11" t="s">
        <v>117</v>
      </c>
      <c r="E1219" s="19">
        <v>-31587.16</v>
      </c>
      <c r="F1219" s="11" t="s">
        <v>133</v>
      </c>
    </row>
    <row r="1220" spans="1:6" x14ac:dyDescent="0.25">
      <c r="A1220" s="11" t="s">
        <v>279</v>
      </c>
      <c r="B1220" s="11">
        <v>38</v>
      </c>
      <c r="C1220" s="11" t="s">
        <v>134</v>
      </c>
      <c r="D1220" s="11" t="s">
        <v>117</v>
      </c>
      <c r="E1220" s="19">
        <v>-16846.48</v>
      </c>
      <c r="F1220" s="11" t="s">
        <v>133</v>
      </c>
    </row>
    <row r="1221" spans="1:6" x14ac:dyDescent="0.25">
      <c r="A1221" s="11" t="s">
        <v>279</v>
      </c>
      <c r="B1221" s="11">
        <v>38</v>
      </c>
      <c r="C1221" s="11" t="s">
        <v>135</v>
      </c>
      <c r="D1221" s="11" t="s">
        <v>117</v>
      </c>
      <c r="E1221" s="19">
        <v>-14743.58</v>
      </c>
      <c r="F1221" s="11" t="s">
        <v>133</v>
      </c>
    </row>
    <row r="1222" spans="1:6" x14ac:dyDescent="0.25">
      <c r="A1222" s="11" t="s">
        <v>279</v>
      </c>
      <c r="B1222" s="11">
        <v>38</v>
      </c>
      <c r="C1222" s="11" t="s">
        <v>136</v>
      </c>
      <c r="D1222" s="11" t="s">
        <v>117</v>
      </c>
      <c r="E1222" s="19">
        <v>-10531.14</v>
      </c>
      <c r="F1222" s="11" t="s">
        <v>133</v>
      </c>
    </row>
    <row r="1223" spans="1:6" x14ac:dyDescent="0.25">
      <c r="A1223" s="11" t="s">
        <v>279</v>
      </c>
      <c r="B1223" s="11">
        <v>38</v>
      </c>
      <c r="C1223" s="11" t="s">
        <v>137</v>
      </c>
      <c r="D1223" s="11" t="s">
        <v>117</v>
      </c>
      <c r="E1223" s="19">
        <v>-12637.64</v>
      </c>
      <c r="F1223" s="11" t="s">
        <v>133</v>
      </c>
    </row>
    <row r="1224" spans="1:6" x14ac:dyDescent="0.25">
      <c r="A1224" s="11" t="s">
        <v>279</v>
      </c>
      <c r="B1224" s="11">
        <v>38</v>
      </c>
      <c r="C1224" s="11" t="s">
        <v>139</v>
      </c>
      <c r="D1224" s="11" t="s">
        <v>117</v>
      </c>
      <c r="E1224" s="19">
        <v>-16850.21</v>
      </c>
      <c r="F1224" s="11" t="s">
        <v>133</v>
      </c>
    </row>
    <row r="1225" spans="1:6" x14ac:dyDescent="0.25">
      <c r="A1225" s="11" t="s">
        <v>279</v>
      </c>
      <c r="B1225" s="11">
        <v>38</v>
      </c>
      <c r="C1225" s="11" t="s">
        <v>422</v>
      </c>
      <c r="D1225" s="11" t="s">
        <v>117</v>
      </c>
      <c r="E1225" s="19">
        <v>106177.35</v>
      </c>
      <c r="F1225" s="11" t="s">
        <v>423</v>
      </c>
    </row>
    <row r="1226" spans="1:6" x14ac:dyDescent="0.25">
      <c r="A1226" s="11" t="s">
        <v>280</v>
      </c>
      <c r="B1226" s="11">
        <v>39</v>
      </c>
      <c r="C1226" s="11" t="s">
        <v>72</v>
      </c>
      <c r="D1226" s="11" t="s">
        <v>425</v>
      </c>
      <c r="E1226" s="19">
        <v>980902.85</v>
      </c>
      <c r="F1226" s="11" t="s">
        <v>131</v>
      </c>
    </row>
    <row r="1227" spans="1:6" x14ac:dyDescent="0.25">
      <c r="A1227" s="11" t="s">
        <v>280</v>
      </c>
      <c r="B1227" s="11">
        <v>39</v>
      </c>
      <c r="C1227" s="11" t="s">
        <v>72</v>
      </c>
      <c r="D1227" s="11" t="s">
        <v>216</v>
      </c>
      <c r="E1227" s="19">
        <v>-2670</v>
      </c>
      <c r="F1227" s="11" t="s">
        <v>131</v>
      </c>
    </row>
    <row r="1228" spans="1:6" x14ac:dyDescent="0.25">
      <c r="A1228" s="11" t="s">
        <v>280</v>
      </c>
      <c r="B1228" s="11">
        <v>39</v>
      </c>
      <c r="C1228" s="11" t="s">
        <v>72</v>
      </c>
      <c r="D1228" s="11" t="s">
        <v>426</v>
      </c>
      <c r="E1228" s="19">
        <v>660000</v>
      </c>
      <c r="F1228" s="11" t="s">
        <v>131</v>
      </c>
    </row>
    <row r="1229" spans="1:6" x14ac:dyDescent="0.25">
      <c r="A1229" s="11" t="s">
        <v>280</v>
      </c>
      <c r="B1229" s="11">
        <v>39</v>
      </c>
      <c r="C1229" s="11" t="s">
        <v>72</v>
      </c>
      <c r="D1229" s="11" t="s">
        <v>421</v>
      </c>
      <c r="E1229" s="19">
        <v>-560000</v>
      </c>
      <c r="F1229" s="11" t="s">
        <v>131</v>
      </c>
    </row>
    <row r="1230" spans="1:6" x14ac:dyDescent="0.25">
      <c r="A1230" s="11" t="s">
        <v>280</v>
      </c>
      <c r="B1230" s="11">
        <v>39</v>
      </c>
      <c r="C1230" s="11" t="s">
        <v>72</v>
      </c>
      <c r="D1230" s="11" t="s">
        <v>117</v>
      </c>
      <c r="E1230" s="19">
        <v>-630546.18999999994</v>
      </c>
      <c r="F1230" s="11" t="s">
        <v>131</v>
      </c>
    </row>
    <row r="1231" spans="1:6" x14ac:dyDescent="0.25">
      <c r="A1231" s="11" t="s">
        <v>280</v>
      </c>
      <c r="B1231" s="11">
        <v>39</v>
      </c>
      <c r="C1231" s="11" t="s">
        <v>132</v>
      </c>
      <c r="D1231" s="11" t="s">
        <v>425</v>
      </c>
      <c r="E1231" s="19">
        <v>13910450.699999999</v>
      </c>
      <c r="F1231" s="11" t="s">
        <v>133</v>
      </c>
    </row>
    <row r="1232" spans="1:6" x14ac:dyDescent="0.25">
      <c r="A1232" s="11" t="s">
        <v>280</v>
      </c>
      <c r="B1232" s="11">
        <v>39</v>
      </c>
      <c r="C1232" s="11" t="s">
        <v>132</v>
      </c>
      <c r="D1232" s="11" t="s">
        <v>197</v>
      </c>
      <c r="E1232" s="19">
        <v>-27551.02</v>
      </c>
      <c r="F1232" s="11" t="s">
        <v>133</v>
      </c>
    </row>
    <row r="1233" spans="1:6" x14ac:dyDescent="0.25">
      <c r="A1233" s="11" t="s">
        <v>280</v>
      </c>
      <c r="B1233" s="11">
        <v>39</v>
      </c>
      <c r="C1233" s="11" t="s">
        <v>132</v>
      </c>
      <c r="D1233" s="11" t="s">
        <v>216</v>
      </c>
      <c r="E1233" s="19">
        <v>-40050</v>
      </c>
      <c r="F1233" s="11" t="s">
        <v>133</v>
      </c>
    </row>
    <row r="1234" spans="1:6" x14ac:dyDescent="0.25">
      <c r="A1234" s="11" t="s">
        <v>280</v>
      </c>
      <c r="B1234" s="11">
        <v>39</v>
      </c>
      <c r="C1234" s="11" t="s">
        <v>132</v>
      </c>
      <c r="D1234" s="11" t="s">
        <v>426</v>
      </c>
      <c r="E1234" s="19">
        <v>9900000</v>
      </c>
      <c r="F1234" s="11" t="s">
        <v>133</v>
      </c>
    </row>
    <row r="1235" spans="1:6" x14ac:dyDescent="0.25">
      <c r="A1235" s="11" t="s">
        <v>280</v>
      </c>
      <c r="B1235" s="11">
        <v>39</v>
      </c>
      <c r="C1235" s="11" t="s">
        <v>132</v>
      </c>
      <c r="D1235" s="11" t="s">
        <v>421</v>
      </c>
      <c r="E1235" s="19">
        <v>-8400000</v>
      </c>
      <c r="F1235" s="11" t="s">
        <v>133</v>
      </c>
    </row>
    <row r="1236" spans="1:6" x14ac:dyDescent="0.25">
      <c r="A1236" s="11" t="s">
        <v>280</v>
      </c>
      <c r="B1236" s="11">
        <v>39</v>
      </c>
      <c r="C1236" s="11" t="s">
        <v>132</v>
      </c>
      <c r="D1236" s="11" t="s">
        <v>117</v>
      </c>
      <c r="E1236" s="19">
        <v>-7849651.0300000003</v>
      </c>
      <c r="F1236" s="11" t="s">
        <v>133</v>
      </c>
    </row>
    <row r="1237" spans="1:6" x14ac:dyDescent="0.25">
      <c r="A1237" s="11" t="s">
        <v>280</v>
      </c>
      <c r="B1237" s="11">
        <v>39</v>
      </c>
      <c r="C1237" s="11" t="s">
        <v>134</v>
      </c>
      <c r="D1237" s="11" t="s">
        <v>425</v>
      </c>
      <c r="E1237" s="19">
        <v>7418907.04</v>
      </c>
      <c r="F1237" s="11" t="s">
        <v>133</v>
      </c>
    </row>
    <row r="1238" spans="1:6" x14ac:dyDescent="0.25">
      <c r="A1238" s="11" t="s">
        <v>280</v>
      </c>
      <c r="B1238" s="11">
        <v>39</v>
      </c>
      <c r="C1238" s="11" t="s">
        <v>134</v>
      </c>
      <c r="D1238" s="11" t="s">
        <v>197</v>
      </c>
      <c r="E1238" s="19">
        <v>-14693.88</v>
      </c>
      <c r="F1238" s="11" t="s">
        <v>133</v>
      </c>
    </row>
    <row r="1239" spans="1:6" x14ac:dyDescent="0.25">
      <c r="A1239" s="11" t="s">
        <v>280</v>
      </c>
      <c r="B1239" s="11">
        <v>39</v>
      </c>
      <c r="C1239" s="11" t="s">
        <v>134</v>
      </c>
      <c r="D1239" s="11" t="s">
        <v>216</v>
      </c>
      <c r="E1239" s="19">
        <v>-21360</v>
      </c>
      <c r="F1239" s="11" t="s">
        <v>133</v>
      </c>
    </row>
    <row r="1240" spans="1:6" x14ac:dyDescent="0.25">
      <c r="A1240" s="11" t="s">
        <v>280</v>
      </c>
      <c r="B1240" s="11">
        <v>39</v>
      </c>
      <c r="C1240" s="11" t="s">
        <v>134</v>
      </c>
      <c r="D1240" s="11" t="s">
        <v>426</v>
      </c>
      <c r="E1240" s="19">
        <v>5280000</v>
      </c>
      <c r="F1240" s="11" t="s">
        <v>133</v>
      </c>
    </row>
    <row r="1241" spans="1:6" x14ac:dyDescent="0.25">
      <c r="A1241" s="11" t="s">
        <v>280</v>
      </c>
      <c r="B1241" s="11">
        <v>39</v>
      </c>
      <c r="C1241" s="11" t="s">
        <v>134</v>
      </c>
      <c r="D1241" s="11" t="s">
        <v>421</v>
      </c>
      <c r="E1241" s="19">
        <v>-4480000</v>
      </c>
      <c r="F1241" s="11" t="s">
        <v>133</v>
      </c>
    </row>
    <row r="1242" spans="1:6" x14ac:dyDescent="0.25">
      <c r="A1242" s="11" t="s">
        <v>280</v>
      </c>
      <c r="B1242" s="11">
        <v>39</v>
      </c>
      <c r="C1242" s="11" t="s">
        <v>134</v>
      </c>
      <c r="D1242" s="11" t="s">
        <v>117</v>
      </c>
      <c r="E1242" s="19">
        <v>-4186480.56</v>
      </c>
      <c r="F1242" s="11" t="s">
        <v>133</v>
      </c>
    </row>
    <row r="1243" spans="1:6" x14ac:dyDescent="0.25">
      <c r="A1243" s="11" t="s">
        <v>280</v>
      </c>
      <c r="B1243" s="11">
        <v>39</v>
      </c>
      <c r="C1243" s="11" t="s">
        <v>135</v>
      </c>
      <c r="D1243" s="11" t="s">
        <v>425</v>
      </c>
      <c r="E1243" s="19">
        <v>6542498.6500000004</v>
      </c>
      <c r="F1243" s="11" t="s">
        <v>133</v>
      </c>
    </row>
    <row r="1244" spans="1:6" x14ac:dyDescent="0.25">
      <c r="A1244" s="11" t="s">
        <v>280</v>
      </c>
      <c r="B1244" s="11">
        <v>39</v>
      </c>
      <c r="C1244" s="11" t="s">
        <v>135</v>
      </c>
      <c r="D1244" s="11" t="s">
        <v>197</v>
      </c>
      <c r="E1244" s="19">
        <v>-12857.14</v>
      </c>
      <c r="F1244" s="11" t="s">
        <v>133</v>
      </c>
    </row>
    <row r="1245" spans="1:6" x14ac:dyDescent="0.25">
      <c r="A1245" s="11" t="s">
        <v>280</v>
      </c>
      <c r="B1245" s="11">
        <v>39</v>
      </c>
      <c r="C1245" s="11" t="s">
        <v>135</v>
      </c>
      <c r="D1245" s="11" t="s">
        <v>216</v>
      </c>
      <c r="E1245" s="19">
        <v>-18690</v>
      </c>
      <c r="F1245" s="11" t="s">
        <v>133</v>
      </c>
    </row>
    <row r="1246" spans="1:6" x14ac:dyDescent="0.25">
      <c r="A1246" s="11" t="s">
        <v>280</v>
      </c>
      <c r="B1246" s="11">
        <v>39</v>
      </c>
      <c r="C1246" s="11" t="s">
        <v>135</v>
      </c>
      <c r="D1246" s="11" t="s">
        <v>426</v>
      </c>
      <c r="E1246" s="19">
        <v>4620000</v>
      </c>
      <c r="F1246" s="11" t="s">
        <v>133</v>
      </c>
    </row>
    <row r="1247" spans="1:6" x14ac:dyDescent="0.25">
      <c r="A1247" s="11" t="s">
        <v>280</v>
      </c>
      <c r="B1247" s="11">
        <v>39</v>
      </c>
      <c r="C1247" s="11" t="s">
        <v>135</v>
      </c>
      <c r="D1247" s="11" t="s">
        <v>421</v>
      </c>
      <c r="E1247" s="19">
        <v>-3920000</v>
      </c>
      <c r="F1247" s="11" t="s">
        <v>133</v>
      </c>
    </row>
    <row r="1248" spans="1:6" x14ac:dyDescent="0.25">
      <c r="A1248" s="11" t="s">
        <v>280</v>
      </c>
      <c r="B1248" s="11">
        <v>39</v>
      </c>
      <c r="C1248" s="11" t="s">
        <v>135</v>
      </c>
      <c r="D1248" s="11" t="s">
        <v>117</v>
      </c>
      <c r="E1248" s="19">
        <v>-3844915.28</v>
      </c>
      <c r="F1248" s="11" t="s">
        <v>133</v>
      </c>
    </row>
    <row r="1249" spans="1:6" x14ac:dyDescent="0.25">
      <c r="A1249" s="11" t="s">
        <v>280</v>
      </c>
      <c r="B1249" s="11">
        <v>39</v>
      </c>
      <c r="C1249" s="11" t="s">
        <v>136</v>
      </c>
      <c r="D1249" s="11" t="s">
        <v>425</v>
      </c>
      <c r="E1249" s="19">
        <v>4673213.33</v>
      </c>
      <c r="F1249" s="11" t="s">
        <v>133</v>
      </c>
    </row>
    <row r="1250" spans="1:6" x14ac:dyDescent="0.25">
      <c r="A1250" s="11" t="s">
        <v>280</v>
      </c>
      <c r="B1250" s="11">
        <v>39</v>
      </c>
      <c r="C1250" s="11" t="s">
        <v>136</v>
      </c>
      <c r="D1250" s="11" t="s">
        <v>197</v>
      </c>
      <c r="E1250" s="19">
        <v>-9183.67</v>
      </c>
      <c r="F1250" s="11" t="s">
        <v>133</v>
      </c>
    </row>
    <row r="1251" spans="1:6" x14ac:dyDescent="0.25">
      <c r="A1251" s="11" t="s">
        <v>280</v>
      </c>
      <c r="B1251" s="11">
        <v>39</v>
      </c>
      <c r="C1251" s="11" t="s">
        <v>136</v>
      </c>
      <c r="D1251" s="11" t="s">
        <v>216</v>
      </c>
      <c r="E1251" s="19">
        <v>-13350</v>
      </c>
      <c r="F1251" s="11" t="s">
        <v>133</v>
      </c>
    </row>
    <row r="1252" spans="1:6" x14ac:dyDescent="0.25">
      <c r="A1252" s="11" t="s">
        <v>280</v>
      </c>
      <c r="B1252" s="11">
        <v>39</v>
      </c>
      <c r="C1252" s="11" t="s">
        <v>136</v>
      </c>
      <c r="D1252" s="11" t="s">
        <v>426</v>
      </c>
      <c r="E1252" s="19">
        <v>3300000</v>
      </c>
      <c r="F1252" s="11" t="s">
        <v>133</v>
      </c>
    </row>
    <row r="1253" spans="1:6" x14ac:dyDescent="0.25">
      <c r="A1253" s="11" t="s">
        <v>280</v>
      </c>
      <c r="B1253" s="11">
        <v>39</v>
      </c>
      <c r="C1253" s="11" t="s">
        <v>136</v>
      </c>
      <c r="D1253" s="11" t="s">
        <v>421</v>
      </c>
      <c r="E1253" s="19">
        <v>-2800000</v>
      </c>
      <c r="F1253" s="11" t="s">
        <v>133</v>
      </c>
    </row>
    <row r="1254" spans="1:6" x14ac:dyDescent="0.25">
      <c r="A1254" s="11" t="s">
        <v>280</v>
      </c>
      <c r="B1254" s="11">
        <v>39</v>
      </c>
      <c r="C1254" s="11" t="s">
        <v>136</v>
      </c>
      <c r="D1254" s="11" t="s">
        <v>117</v>
      </c>
      <c r="E1254" s="19">
        <v>-2746368.06</v>
      </c>
      <c r="F1254" s="11" t="s">
        <v>133</v>
      </c>
    </row>
    <row r="1255" spans="1:6" x14ac:dyDescent="0.25">
      <c r="A1255" s="11" t="s">
        <v>280</v>
      </c>
      <c r="B1255" s="11">
        <v>39</v>
      </c>
      <c r="C1255" s="11" t="s">
        <v>137</v>
      </c>
      <c r="D1255" s="11" t="s">
        <v>425</v>
      </c>
      <c r="E1255" s="19">
        <v>5611726.0300000003</v>
      </c>
      <c r="F1255" s="11" t="s">
        <v>133</v>
      </c>
    </row>
    <row r="1256" spans="1:6" x14ac:dyDescent="0.25">
      <c r="A1256" s="11" t="s">
        <v>280</v>
      </c>
      <c r="B1256" s="11">
        <v>39</v>
      </c>
      <c r="C1256" s="11" t="s">
        <v>137</v>
      </c>
      <c r="D1256" s="11" t="s">
        <v>197</v>
      </c>
      <c r="E1256" s="19">
        <v>-11020.41</v>
      </c>
      <c r="F1256" s="11" t="s">
        <v>133</v>
      </c>
    </row>
    <row r="1257" spans="1:6" x14ac:dyDescent="0.25">
      <c r="A1257" s="11" t="s">
        <v>280</v>
      </c>
      <c r="B1257" s="11">
        <v>39</v>
      </c>
      <c r="C1257" s="11" t="s">
        <v>137</v>
      </c>
      <c r="D1257" s="11" t="s">
        <v>216</v>
      </c>
      <c r="E1257" s="19">
        <v>-16020</v>
      </c>
      <c r="F1257" s="11" t="s">
        <v>133</v>
      </c>
    </row>
    <row r="1258" spans="1:6" x14ac:dyDescent="0.25">
      <c r="A1258" s="11" t="s">
        <v>280</v>
      </c>
      <c r="B1258" s="11">
        <v>39</v>
      </c>
      <c r="C1258" s="11" t="s">
        <v>137</v>
      </c>
      <c r="D1258" s="11" t="s">
        <v>426</v>
      </c>
      <c r="E1258" s="19">
        <v>3960000</v>
      </c>
      <c r="F1258" s="11" t="s">
        <v>133</v>
      </c>
    </row>
    <row r="1259" spans="1:6" x14ac:dyDescent="0.25">
      <c r="A1259" s="11" t="s">
        <v>280</v>
      </c>
      <c r="B1259" s="11">
        <v>39</v>
      </c>
      <c r="C1259" s="11" t="s">
        <v>137</v>
      </c>
      <c r="D1259" s="11" t="s">
        <v>421</v>
      </c>
      <c r="E1259" s="19">
        <v>-3360000</v>
      </c>
      <c r="F1259" s="11" t="s">
        <v>133</v>
      </c>
    </row>
    <row r="1260" spans="1:6" x14ac:dyDescent="0.25">
      <c r="A1260" s="11" t="s">
        <v>280</v>
      </c>
      <c r="B1260" s="11">
        <v>39</v>
      </c>
      <c r="C1260" s="11" t="s">
        <v>137</v>
      </c>
      <c r="D1260" s="11" t="s">
        <v>117</v>
      </c>
      <c r="E1260" s="19">
        <v>-3309445.23</v>
      </c>
      <c r="F1260" s="11" t="s">
        <v>133</v>
      </c>
    </row>
    <row r="1261" spans="1:6" x14ac:dyDescent="0.25">
      <c r="A1261" s="11" t="s">
        <v>280</v>
      </c>
      <c r="B1261" s="11">
        <v>39</v>
      </c>
      <c r="C1261" s="11" t="s">
        <v>139</v>
      </c>
      <c r="D1261" s="11" t="s">
        <v>425</v>
      </c>
      <c r="E1261" s="19">
        <v>7482301.4000000004</v>
      </c>
      <c r="F1261" s="11" t="s">
        <v>133</v>
      </c>
    </row>
    <row r="1262" spans="1:6" x14ac:dyDescent="0.25">
      <c r="A1262" s="11" t="s">
        <v>280</v>
      </c>
      <c r="B1262" s="11">
        <v>39</v>
      </c>
      <c r="C1262" s="11" t="s">
        <v>139</v>
      </c>
      <c r="D1262" s="11" t="s">
        <v>197</v>
      </c>
      <c r="E1262" s="19">
        <v>-14693.88</v>
      </c>
      <c r="F1262" s="11" t="s">
        <v>133</v>
      </c>
    </row>
    <row r="1263" spans="1:6" x14ac:dyDescent="0.25">
      <c r="A1263" s="11" t="s">
        <v>280</v>
      </c>
      <c r="B1263" s="11">
        <v>39</v>
      </c>
      <c r="C1263" s="11" t="s">
        <v>139</v>
      </c>
      <c r="D1263" s="11" t="s">
        <v>216</v>
      </c>
      <c r="E1263" s="19">
        <v>-21360</v>
      </c>
      <c r="F1263" s="11" t="s">
        <v>133</v>
      </c>
    </row>
    <row r="1264" spans="1:6" x14ac:dyDescent="0.25">
      <c r="A1264" s="11" t="s">
        <v>280</v>
      </c>
      <c r="B1264" s="11">
        <v>39</v>
      </c>
      <c r="C1264" s="11" t="s">
        <v>139</v>
      </c>
      <c r="D1264" s="11" t="s">
        <v>426</v>
      </c>
      <c r="E1264" s="19">
        <v>5280000</v>
      </c>
      <c r="F1264" s="11" t="s">
        <v>133</v>
      </c>
    </row>
    <row r="1265" spans="1:6" x14ac:dyDescent="0.25">
      <c r="A1265" s="11" t="s">
        <v>280</v>
      </c>
      <c r="B1265" s="11">
        <v>39</v>
      </c>
      <c r="C1265" s="11" t="s">
        <v>139</v>
      </c>
      <c r="D1265" s="11" t="s">
        <v>421</v>
      </c>
      <c r="E1265" s="19">
        <v>-4480000</v>
      </c>
      <c r="F1265" s="11" t="s">
        <v>133</v>
      </c>
    </row>
    <row r="1266" spans="1:6" x14ac:dyDescent="0.25">
      <c r="A1266" s="11" t="s">
        <v>280</v>
      </c>
      <c r="B1266" s="11">
        <v>39</v>
      </c>
      <c r="C1266" s="11" t="s">
        <v>139</v>
      </c>
      <c r="D1266" s="11" t="s">
        <v>117</v>
      </c>
      <c r="E1266" s="19">
        <v>-4412593.6500000004</v>
      </c>
      <c r="F1266" s="11" t="s">
        <v>133</v>
      </c>
    </row>
    <row r="1267" spans="1:6" x14ac:dyDescent="0.25">
      <c r="A1267" s="11" t="s">
        <v>280</v>
      </c>
      <c r="B1267" s="11">
        <v>39</v>
      </c>
      <c r="C1267" s="11" t="s">
        <v>422</v>
      </c>
      <c r="D1267" s="11" t="s">
        <v>117</v>
      </c>
      <c r="E1267" s="19">
        <v>26980000</v>
      </c>
      <c r="F1267" s="11" t="s">
        <v>423</v>
      </c>
    </row>
    <row r="1268" spans="1:6" x14ac:dyDescent="0.25">
      <c r="A1268" s="11" t="s">
        <v>280</v>
      </c>
      <c r="B1268" s="11">
        <v>39</v>
      </c>
      <c r="C1268" s="11" t="s">
        <v>422</v>
      </c>
      <c r="D1268" s="11" t="s">
        <v>425</v>
      </c>
      <c r="E1268" s="19">
        <v>26980000</v>
      </c>
      <c r="F1268" s="11" t="s">
        <v>423</v>
      </c>
    </row>
    <row r="1269" spans="1:6" x14ac:dyDescent="0.25">
      <c r="A1269" s="11" t="s">
        <v>280</v>
      </c>
      <c r="B1269" s="11">
        <v>39</v>
      </c>
      <c r="C1269" s="11" t="s">
        <v>72</v>
      </c>
      <c r="D1269" s="11" t="s">
        <v>117</v>
      </c>
      <c r="E1269" s="19">
        <v>614157.35</v>
      </c>
      <c r="F1269" s="11" t="s">
        <v>131</v>
      </c>
    </row>
    <row r="1270" spans="1:6" x14ac:dyDescent="0.25">
      <c r="A1270" s="11" t="s">
        <v>280</v>
      </c>
      <c r="B1270" s="11">
        <v>39</v>
      </c>
      <c r="C1270" s="11" t="s">
        <v>132</v>
      </c>
      <c r="D1270" s="11" t="s">
        <v>117</v>
      </c>
      <c r="E1270" s="19">
        <v>7605235.8600000003</v>
      </c>
      <c r="F1270" s="11" t="s">
        <v>133</v>
      </c>
    </row>
    <row r="1271" spans="1:6" x14ac:dyDescent="0.25">
      <c r="A1271" s="11" t="s">
        <v>280</v>
      </c>
      <c r="B1271" s="11">
        <v>39</v>
      </c>
      <c r="C1271" s="11" t="s">
        <v>134</v>
      </c>
      <c r="D1271" s="11" t="s">
        <v>117</v>
      </c>
      <c r="E1271" s="19">
        <v>4056125.8</v>
      </c>
      <c r="F1271" s="11" t="s">
        <v>133</v>
      </c>
    </row>
    <row r="1272" spans="1:6" x14ac:dyDescent="0.25">
      <c r="A1272" s="11" t="s">
        <v>280</v>
      </c>
      <c r="B1272" s="11">
        <v>39</v>
      </c>
      <c r="C1272" s="11" t="s">
        <v>135</v>
      </c>
      <c r="D1272" s="11" t="s">
        <v>117</v>
      </c>
      <c r="E1272" s="19">
        <v>3693009.18</v>
      </c>
      <c r="F1272" s="11" t="s">
        <v>133</v>
      </c>
    </row>
    <row r="1273" spans="1:6" x14ac:dyDescent="0.25">
      <c r="A1273" s="11" t="s">
        <v>280</v>
      </c>
      <c r="B1273" s="11">
        <v>39</v>
      </c>
      <c r="C1273" s="11" t="s">
        <v>136</v>
      </c>
      <c r="D1273" s="11" t="s">
        <v>117</v>
      </c>
      <c r="E1273" s="19">
        <v>2637863.71</v>
      </c>
      <c r="F1273" s="11" t="s">
        <v>133</v>
      </c>
    </row>
    <row r="1274" spans="1:6" x14ac:dyDescent="0.25">
      <c r="A1274" s="11" t="s">
        <v>280</v>
      </c>
      <c r="B1274" s="11">
        <v>39</v>
      </c>
      <c r="C1274" s="11" t="s">
        <v>137</v>
      </c>
      <c r="D1274" s="11" t="s">
        <v>117</v>
      </c>
      <c r="E1274" s="19">
        <v>3179274.89</v>
      </c>
      <c r="F1274" s="11" t="s">
        <v>133</v>
      </c>
    </row>
    <row r="1275" spans="1:6" x14ac:dyDescent="0.25">
      <c r="A1275" s="11" t="s">
        <v>280</v>
      </c>
      <c r="B1275" s="11">
        <v>39</v>
      </c>
      <c r="C1275" s="11" t="s">
        <v>139</v>
      </c>
      <c r="D1275" s="11" t="s">
        <v>117</v>
      </c>
      <c r="E1275" s="19">
        <v>4239033.21</v>
      </c>
      <c r="F1275" s="11" t="s">
        <v>133</v>
      </c>
    </row>
    <row r="1276" spans="1:6" x14ac:dyDescent="0.25">
      <c r="A1276" s="11" t="s">
        <v>280</v>
      </c>
      <c r="B1276" s="11">
        <v>39</v>
      </c>
      <c r="C1276" s="11" t="s">
        <v>422</v>
      </c>
      <c r="D1276" s="11" t="s">
        <v>117</v>
      </c>
      <c r="E1276" s="19">
        <v>-26024700</v>
      </c>
      <c r="F1276" s="11" t="s">
        <v>423</v>
      </c>
    </row>
    <row r="1277" spans="1:6" x14ac:dyDescent="0.25">
      <c r="A1277" s="11" t="s">
        <v>281</v>
      </c>
      <c r="B1277" s="11">
        <v>40</v>
      </c>
      <c r="C1277" s="11" t="s">
        <v>72</v>
      </c>
      <c r="D1277" s="11" t="s">
        <v>216</v>
      </c>
      <c r="E1277" s="19">
        <v>-2670</v>
      </c>
      <c r="F1277" s="11" t="s">
        <v>131</v>
      </c>
    </row>
    <row r="1278" spans="1:6" x14ac:dyDescent="0.25">
      <c r="A1278" s="11" t="s">
        <v>281</v>
      </c>
      <c r="B1278" s="11">
        <v>40</v>
      </c>
      <c r="C1278" s="11" t="s">
        <v>132</v>
      </c>
      <c r="D1278" s="11" t="s">
        <v>197</v>
      </c>
      <c r="E1278" s="19">
        <v>-27551.02</v>
      </c>
      <c r="F1278" s="11" t="s">
        <v>133</v>
      </c>
    </row>
    <row r="1279" spans="1:6" x14ac:dyDescent="0.25">
      <c r="A1279" s="11" t="s">
        <v>281</v>
      </c>
      <c r="B1279" s="11">
        <v>40</v>
      </c>
      <c r="C1279" s="11" t="s">
        <v>132</v>
      </c>
      <c r="D1279" s="11" t="s">
        <v>216</v>
      </c>
      <c r="E1279" s="19">
        <v>-40050</v>
      </c>
      <c r="F1279" s="11" t="s">
        <v>133</v>
      </c>
    </row>
    <row r="1280" spans="1:6" x14ac:dyDescent="0.25">
      <c r="A1280" s="11" t="s">
        <v>281</v>
      </c>
      <c r="B1280" s="11">
        <v>40</v>
      </c>
      <c r="C1280" s="11" t="s">
        <v>134</v>
      </c>
      <c r="D1280" s="11" t="s">
        <v>197</v>
      </c>
      <c r="E1280" s="19">
        <v>-14693.88</v>
      </c>
      <c r="F1280" s="11" t="s">
        <v>133</v>
      </c>
    </row>
    <row r="1281" spans="1:6" x14ac:dyDescent="0.25">
      <c r="A1281" s="11" t="s">
        <v>281</v>
      </c>
      <c r="B1281" s="11">
        <v>40</v>
      </c>
      <c r="C1281" s="11" t="s">
        <v>134</v>
      </c>
      <c r="D1281" s="11" t="s">
        <v>216</v>
      </c>
      <c r="E1281" s="19">
        <v>-21360</v>
      </c>
      <c r="F1281" s="11" t="s">
        <v>133</v>
      </c>
    </row>
    <row r="1282" spans="1:6" x14ac:dyDescent="0.25">
      <c r="A1282" s="11" t="s">
        <v>281</v>
      </c>
      <c r="B1282" s="11">
        <v>40</v>
      </c>
      <c r="C1282" s="11" t="s">
        <v>135</v>
      </c>
      <c r="D1282" s="11" t="s">
        <v>197</v>
      </c>
      <c r="E1282" s="19">
        <v>-12857.14</v>
      </c>
      <c r="F1282" s="11" t="s">
        <v>133</v>
      </c>
    </row>
    <row r="1283" spans="1:6" x14ac:dyDescent="0.25">
      <c r="A1283" s="11" t="s">
        <v>281</v>
      </c>
      <c r="B1283" s="11">
        <v>40</v>
      </c>
      <c r="C1283" s="11" t="s">
        <v>135</v>
      </c>
      <c r="D1283" s="11" t="s">
        <v>216</v>
      </c>
      <c r="E1283" s="19">
        <v>-18690</v>
      </c>
      <c r="F1283" s="11" t="s">
        <v>133</v>
      </c>
    </row>
    <row r="1284" spans="1:6" x14ac:dyDescent="0.25">
      <c r="A1284" s="11" t="s">
        <v>281</v>
      </c>
      <c r="B1284" s="11">
        <v>40</v>
      </c>
      <c r="C1284" s="11" t="s">
        <v>136</v>
      </c>
      <c r="D1284" s="11" t="s">
        <v>197</v>
      </c>
      <c r="E1284" s="19">
        <v>-9183.67</v>
      </c>
      <c r="F1284" s="11" t="s">
        <v>133</v>
      </c>
    </row>
    <row r="1285" spans="1:6" x14ac:dyDescent="0.25">
      <c r="A1285" s="11" t="s">
        <v>281</v>
      </c>
      <c r="B1285" s="11">
        <v>40</v>
      </c>
      <c r="C1285" s="11" t="s">
        <v>136</v>
      </c>
      <c r="D1285" s="11" t="s">
        <v>216</v>
      </c>
      <c r="E1285" s="19">
        <v>-13350</v>
      </c>
      <c r="F1285" s="11" t="s">
        <v>133</v>
      </c>
    </row>
    <row r="1286" spans="1:6" x14ac:dyDescent="0.25">
      <c r="A1286" s="11" t="s">
        <v>281</v>
      </c>
      <c r="B1286" s="11">
        <v>40</v>
      </c>
      <c r="C1286" s="11" t="s">
        <v>137</v>
      </c>
      <c r="D1286" s="11" t="s">
        <v>197</v>
      </c>
      <c r="E1286" s="19">
        <v>-11020.41</v>
      </c>
      <c r="F1286" s="11" t="s">
        <v>133</v>
      </c>
    </row>
    <row r="1287" spans="1:6" x14ac:dyDescent="0.25">
      <c r="A1287" s="11" t="s">
        <v>281</v>
      </c>
      <c r="B1287" s="11">
        <v>40</v>
      </c>
      <c r="C1287" s="11" t="s">
        <v>137</v>
      </c>
      <c r="D1287" s="11" t="s">
        <v>216</v>
      </c>
      <c r="E1287" s="19">
        <v>-16020</v>
      </c>
      <c r="F1287" s="11" t="s">
        <v>133</v>
      </c>
    </row>
    <row r="1288" spans="1:6" x14ac:dyDescent="0.25">
      <c r="A1288" s="11" t="s">
        <v>281</v>
      </c>
      <c r="B1288" s="11">
        <v>40</v>
      </c>
      <c r="C1288" s="11" t="s">
        <v>139</v>
      </c>
      <c r="D1288" s="11" t="s">
        <v>197</v>
      </c>
      <c r="E1288" s="19">
        <v>-14693.88</v>
      </c>
      <c r="F1288" s="11" t="s">
        <v>133</v>
      </c>
    </row>
    <row r="1289" spans="1:6" x14ac:dyDescent="0.25">
      <c r="A1289" s="11" t="s">
        <v>281</v>
      </c>
      <c r="B1289" s="11">
        <v>40</v>
      </c>
      <c r="C1289" s="11" t="s">
        <v>139</v>
      </c>
      <c r="D1289" s="11" t="s">
        <v>216</v>
      </c>
      <c r="E1289" s="19">
        <v>-21360</v>
      </c>
      <c r="F1289" s="11" t="s">
        <v>133</v>
      </c>
    </row>
    <row r="1290" spans="1:6" x14ac:dyDescent="0.25">
      <c r="A1290" s="11" t="s">
        <v>281</v>
      </c>
      <c r="B1290" s="11">
        <v>40</v>
      </c>
      <c r="C1290" s="11" t="s">
        <v>72</v>
      </c>
      <c r="D1290" s="11" t="s">
        <v>117</v>
      </c>
      <c r="E1290" s="19">
        <v>913.38</v>
      </c>
      <c r="F1290" s="11" t="s">
        <v>131</v>
      </c>
    </row>
    <row r="1291" spans="1:6" x14ac:dyDescent="0.25">
      <c r="A1291" s="11" t="s">
        <v>281</v>
      </c>
      <c r="B1291" s="11">
        <v>40</v>
      </c>
      <c r="C1291" s="11" t="s">
        <v>132</v>
      </c>
      <c r="D1291" s="11" t="s">
        <v>117</v>
      </c>
      <c r="E1291" s="19">
        <v>13192.6</v>
      </c>
      <c r="F1291" s="11" t="s">
        <v>133</v>
      </c>
    </row>
    <row r="1292" spans="1:6" x14ac:dyDescent="0.25">
      <c r="A1292" s="11" t="s">
        <v>281</v>
      </c>
      <c r="B1292" s="11">
        <v>40</v>
      </c>
      <c r="C1292" s="11" t="s">
        <v>134</v>
      </c>
      <c r="D1292" s="11" t="s">
        <v>117</v>
      </c>
      <c r="E1292" s="19">
        <v>7036.05</v>
      </c>
      <c r="F1292" s="11" t="s">
        <v>133</v>
      </c>
    </row>
    <row r="1293" spans="1:6" x14ac:dyDescent="0.25">
      <c r="A1293" s="11" t="s">
        <v>281</v>
      </c>
      <c r="B1293" s="11">
        <v>40</v>
      </c>
      <c r="C1293" s="11" t="s">
        <v>135</v>
      </c>
      <c r="D1293" s="11" t="s">
        <v>117</v>
      </c>
      <c r="E1293" s="19">
        <v>6331.94</v>
      </c>
      <c r="F1293" s="11" t="s">
        <v>133</v>
      </c>
    </row>
    <row r="1294" spans="1:6" x14ac:dyDescent="0.25">
      <c r="A1294" s="11" t="s">
        <v>281</v>
      </c>
      <c r="B1294" s="11">
        <v>40</v>
      </c>
      <c r="C1294" s="11" t="s">
        <v>136</v>
      </c>
      <c r="D1294" s="11" t="s">
        <v>117</v>
      </c>
      <c r="E1294" s="19">
        <v>4522.8100000000004</v>
      </c>
      <c r="F1294" s="11" t="s">
        <v>133</v>
      </c>
    </row>
    <row r="1295" spans="1:6" x14ac:dyDescent="0.25">
      <c r="A1295" s="11" t="s">
        <v>281</v>
      </c>
      <c r="B1295" s="11">
        <v>40</v>
      </c>
      <c r="C1295" s="11" t="s">
        <v>137</v>
      </c>
      <c r="D1295" s="11" t="s">
        <v>117</v>
      </c>
      <c r="E1295" s="19">
        <v>5444.24</v>
      </c>
      <c r="F1295" s="11" t="s">
        <v>133</v>
      </c>
    </row>
    <row r="1296" spans="1:6" x14ac:dyDescent="0.25">
      <c r="A1296" s="11" t="s">
        <v>281</v>
      </c>
      <c r="B1296" s="11">
        <v>40</v>
      </c>
      <c r="C1296" s="11" t="s">
        <v>139</v>
      </c>
      <c r="D1296" s="11" t="s">
        <v>117</v>
      </c>
      <c r="E1296" s="19">
        <v>7258.98</v>
      </c>
      <c r="F1296" s="11" t="s">
        <v>133</v>
      </c>
    </row>
    <row r="1297" spans="1:6" x14ac:dyDescent="0.25">
      <c r="A1297" s="11" t="s">
        <v>281</v>
      </c>
      <c r="B1297" s="11">
        <v>40</v>
      </c>
      <c r="C1297" s="11" t="s">
        <v>422</v>
      </c>
      <c r="D1297" s="11" t="s">
        <v>117</v>
      </c>
      <c r="E1297" s="19">
        <v>-44700</v>
      </c>
      <c r="F1297" s="11" t="s">
        <v>423</v>
      </c>
    </row>
    <row r="1298" spans="1:6" x14ac:dyDescent="0.25">
      <c r="A1298" s="11" t="s">
        <v>282</v>
      </c>
      <c r="B1298" s="11">
        <v>41</v>
      </c>
      <c r="C1298" s="11" t="s">
        <v>72</v>
      </c>
      <c r="D1298" s="11" t="s">
        <v>425</v>
      </c>
      <c r="E1298" s="19">
        <v>1006606.25</v>
      </c>
      <c r="F1298" s="11" t="s">
        <v>131</v>
      </c>
    </row>
    <row r="1299" spans="1:6" x14ac:dyDescent="0.25">
      <c r="A1299" s="11" t="s">
        <v>282</v>
      </c>
      <c r="B1299" s="11">
        <v>41</v>
      </c>
      <c r="C1299" s="11" t="s">
        <v>72</v>
      </c>
      <c r="D1299" s="11" t="s">
        <v>216</v>
      </c>
      <c r="E1299" s="19">
        <v>-2670</v>
      </c>
      <c r="F1299" s="11" t="s">
        <v>131</v>
      </c>
    </row>
    <row r="1300" spans="1:6" x14ac:dyDescent="0.25">
      <c r="A1300" s="11" t="s">
        <v>282</v>
      </c>
      <c r="B1300" s="11">
        <v>41</v>
      </c>
      <c r="C1300" s="11" t="s">
        <v>72</v>
      </c>
      <c r="D1300" s="11" t="s">
        <v>426</v>
      </c>
      <c r="E1300" s="19">
        <v>880000</v>
      </c>
      <c r="F1300" s="11" t="s">
        <v>131</v>
      </c>
    </row>
    <row r="1301" spans="1:6" x14ac:dyDescent="0.25">
      <c r="A1301" s="11" t="s">
        <v>282</v>
      </c>
      <c r="B1301" s="11">
        <v>41</v>
      </c>
      <c r="C1301" s="11" t="s">
        <v>72</v>
      </c>
      <c r="D1301" s="11" t="s">
        <v>421</v>
      </c>
      <c r="E1301" s="19">
        <v>-560000</v>
      </c>
      <c r="F1301" s="11" t="s">
        <v>131</v>
      </c>
    </row>
    <row r="1302" spans="1:6" x14ac:dyDescent="0.25">
      <c r="A1302" s="11" t="s">
        <v>282</v>
      </c>
      <c r="B1302" s="11">
        <v>41</v>
      </c>
      <c r="C1302" s="11" t="s">
        <v>72</v>
      </c>
      <c r="D1302" s="11" t="s">
        <v>117</v>
      </c>
      <c r="E1302" s="19">
        <v>-278362.56</v>
      </c>
      <c r="F1302" s="11" t="s">
        <v>131</v>
      </c>
    </row>
    <row r="1303" spans="1:6" x14ac:dyDescent="0.25">
      <c r="A1303" s="11" t="s">
        <v>282</v>
      </c>
      <c r="B1303" s="11">
        <v>41</v>
      </c>
      <c r="C1303" s="11" t="s">
        <v>132</v>
      </c>
      <c r="D1303" s="11" t="s">
        <v>425</v>
      </c>
      <c r="E1303" s="19">
        <v>14813758.699999999</v>
      </c>
      <c r="F1303" s="11" t="s">
        <v>133</v>
      </c>
    </row>
    <row r="1304" spans="1:6" x14ac:dyDescent="0.25">
      <c r="A1304" s="11" t="s">
        <v>282</v>
      </c>
      <c r="B1304" s="11">
        <v>41</v>
      </c>
      <c r="C1304" s="11" t="s">
        <v>132</v>
      </c>
      <c r="D1304" s="11" t="s">
        <v>216</v>
      </c>
      <c r="E1304" s="19">
        <v>-40050</v>
      </c>
      <c r="F1304" s="11" t="s">
        <v>133</v>
      </c>
    </row>
    <row r="1305" spans="1:6" x14ac:dyDescent="0.25">
      <c r="A1305" s="11" t="s">
        <v>282</v>
      </c>
      <c r="B1305" s="11">
        <v>41</v>
      </c>
      <c r="C1305" s="11" t="s">
        <v>132</v>
      </c>
      <c r="D1305" s="11" t="s">
        <v>426</v>
      </c>
      <c r="E1305" s="19">
        <v>13200000</v>
      </c>
      <c r="F1305" s="11" t="s">
        <v>133</v>
      </c>
    </row>
    <row r="1306" spans="1:6" x14ac:dyDescent="0.25">
      <c r="A1306" s="11" t="s">
        <v>282</v>
      </c>
      <c r="B1306" s="11">
        <v>41</v>
      </c>
      <c r="C1306" s="11" t="s">
        <v>132</v>
      </c>
      <c r="D1306" s="11" t="s">
        <v>421</v>
      </c>
      <c r="E1306" s="19">
        <v>-8400000</v>
      </c>
      <c r="F1306" s="11" t="s">
        <v>133</v>
      </c>
    </row>
    <row r="1307" spans="1:6" x14ac:dyDescent="0.25">
      <c r="A1307" s="11" t="s">
        <v>282</v>
      </c>
      <c r="B1307" s="11">
        <v>41</v>
      </c>
      <c r="C1307" s="11" t="s">
        <v>132</v>
      </c>
      <c r="D1307" s="11" t="s">
        <v>117</v>
      </c>
      <c r="E1307" s="19">
        <v>-3618043.75</v>
      </c>
      <c r="F1307" s="11" t="s">
        <v>133</v>
      </c>
    </row>
    <row r="1308" spans="1:6" x14ac:dyDescent="0.25">
      <c r="A1308" s="11" t="s">
        <v>282</v>
      </c>
      <c r="B1308" s="11">
        <v>41</v>
      </c>
      <c r="C1308" s="11" t="s">
        <v>134</v>
      </c>
      <c r="D1308" s="11" t="s">
        <v>425</v>
      </c>
      <c r="E1308" s="19">
        <v>7900671.3099999996</v>
      </c>
      <c r="F1308" s="11" t="s">
        <v>133</v>
      </c>
    </row>
    <row r="1309" spans="1:6" x14ac:dyDescent="0.25">
      <c r="A1309" s="11" t="s">
        <v>282</v>
      </c>
      <c r="B1309" s="11">
        <v>41</v>
      </c>
      <c r="C1309" s="11" t="s">
        <v>134</v>
      </c>
      <c r="D1309" s="11" t="s">
        <v>216</v>
      </c>
      <c r="E1309" s="19">
        <v>-21360</v>
      </c>
      <c r="F1309" s="11" t="s">
        <v>133</v>
      </c>
    </row>
    <row r="1310" spans="1:6" x14ac:dyDescent="0.25">
      <c r="A1310" s="11" t="s">
        <v>282</v>
      </c>
      <c r="B1310" s="11">
        <v>41</v>
      </c>
      <c r="C1310" s="11" t="s">
        <v>134</v>
      </c>
      <c r="D1310" s="11" t="s">
        <v>426</v>
      </c>
      <c r="E1310" s="19">
        <v>7040000</v>
      </c>
      <c r="F1310" s="11" t="s">
        <v>133</v>
      </c>
    </row>
    <row r="1311" spans="1:6" x14ac:dyDescent="0.25">
      <c r="A1311" s="11" t="s">
        <v>282</v>
      </c>
      <c r="B1311" s="11">
        <v>41</v>
      </c>
      <c r="C1311" s="11" t="s">
        <v>134</v>
      </c>
      <c r="D1311" s="11" t="s">
        <v>421</v>
      </c>
      <c r="E1311" s="19">
        <v>-4480000</v>
      </c>
      <c r="F1311" s="11" t="s">
        <v>133</v>
      </c>
    </row>
    <row r="1312" spans="1:6" x14ac:dyDescent="0.25">
      <c r="A1312" s="11" t="s">
        <v>282</v>
      </c>
      <c r="B1312" s="11">
        <v>41</v>
      </c>
      <c r="C1312" s="11" t="s">
        <v>134</v>
      </c>
      <c r="D1312" s="11" t="s">
        <v>117</v>
      </c>
      <c r="E1312" s="19">
        <v>-1929623.34</v>
      </c>
      <c r="F1312" s="11" t="s">
        <v>133</v>
      </c>
    </row>
    <row r="1313" spans="1:6" x14ac:dyDescent="0.25">
      <c r="A1313" s="11" t="s">
        <v>282</v>
      </c>
      <c r="B1313" s="11">
        <v>41</v>
      </c>
      <c r="C1313" s="11" t="s">
        <v>135</v>
      </c>
      <c r="D1313" s="11" t="s">
        <v>425</v>
      </c>
      <c r="E1313" s="19">
        <v>6903266.5</v>
      </c>
      <c r="F1313" s="11" t="s">
        <v>133</v>
      </c>
    </row>
    <row r="1314" spans="1:6" x14ac:dyDescent="0.25">
      <c r="A1314" s="11" t="s">
        <v>282</v>
      </c>
      <c r="B1314" s="11">
        <v>41</v>
      </c>
      <c r="C1314" s="11" t="s">
        <v>135</v>
      </c>
      <c r="D1314" s="11" t="s">
        <v>216</v>
      </c>
      <c r="E1314" s="19">
        <v>-18690</v>
      </c>
      <c r="F1314" s="11" t="s">
        <v>133</v>
      </c>
    </row>
    <row r="1315" spans="1:6" x14ac:dyDescent="0.25">
      <c r="A1315" s="11" t="s">
        <v>282</v>
      </c>
      <c r="B1315" s="11">
        <v>41</v>
      </c>
      <c r="C1315" s="11" t="s">
        <v>135</v>
      </c>
      <c r="D1315" s="11" t="s">
        <v>426</v>
      </c>
      <c r="E1315" s="19">
        <v>6160000</v>
      </c>
      <c r="F1315" s="11" t="s">
        <v>133</v>
      </c>
    </row>
    <row r="1316" spans="1:6" x14ac:dyDescent="0.25">
      <c r="A1316" s="11" t="s">
        <v>282</v>
      </c>
      <c r="B1316" s="11">
        <v>41</v>
      </c>
      <c r="C1316" s="11" t="s">
        <v>135</v>
      </c>
      <c r="D1316" s="11" t="s">
        <v>421</v>
      </c>
      <c r="E1316" s="19">
        <v>-3920000</v>
      </c>
      <c r="F1316" s="11" t="s">
        <v>133</v>
      </c>
    </row>
    <row r="1317" spans="1:6" x14ac:dyDescent="0.25">
      <c r="A1317" s="11" t="s">
        <v>282</v>
      </c>
      <c r="B1317" s="11">
        <v>41</v>
      </c>
      <c r="C1317" s="11" t="s">
        <v>135</v>
      </c>
      <c r="D1317" s="11" t="s">
        <v>117</v>
      </c>
      <c r="E1317" s="19">
        <v>-1750785.66</v>
      </c>
      <c r="F1317" s="11" t="s">
        <v>133</v>
      </c>
    </row>
    <row r="1318" spans="1:6" x14ac:dyDescent="0.25">
      <c r="A1318" s="11" t="s">
        <v>282</v>
      </c>
      <c r="B1318" s="11">
        <v>41</v>
      </c>
      <c r="C1318" s="11" t="s">
        <v>136</v>
      </c>
      <c r="D1318" s="11" t="s">
        <v>425</v>
      </c>
      <c r="E1318" s="19">
        <v>4930904.6500000004</v>
      </c>
      <c r="F1318" s="11" t="s">
        <v>133</v>
      </c>
    </row>
    <row r="1319" spans="1:6" x14ac:dyDescent="0.25">
      <c r="A1319" s="11" t="s">
        <v>282</v>
      </c>
      <c r="B1319" s="11">
        <v>41</v>
      </c>
      <c r="C1319" s="11" t="s">
        <v>136</v>
      </c>
      <c r="D1319" s="11" t="s">
        <v>216</v>
      </c>
      <c r="E1319" s="19">
        <v>-13350</v>
      </c>
      <c r="F1319" s="11" t="s">
        <v>133</v>
      </c>
    </row>
    <row r="1320" spans="1:6" x14ac:dyDescent="0.25">
      <c r="A1320" s="11" t="s">
        <v>282</v>
      </c>
      <c r="B1320" s="11">
        <v>41</v>
      </c>
      <c r="C1320" s="11" t="s">
        <v>136</v>
      </c>
      <c r="D1320" s="11" t="s">
        <v>426</v>
      </c>
      <c r="E1320" s="19">
        <v>4400000</v>
      </c>
      <c r="F1320" s="11" t="s">
        <v>133</v>
      </c>
    </row>
    <row r="1321" spans="1:6" x14ac:dyDescent="0.25">
      <c r="A1321" s="11" t="s">
        <v>282</v>
      </c>
      <c r="B1321" s="11">
        <v>41</v>
      </c>
      <c r="C1321" s="11" t="s">
        <v>136</v>
      </c>
      <c r="D1321" s="11" t="s">
        <v>421</v>
      </c>
      <c r="E1321" s="19">
        <v>-2800000</v>
      </c>
      <c r="F1321" s="11" t="s">
        <v>133</v>
      </c>
    </row>
    <row r="1322" spans="1:6" x14ac:dyDescent="0.25">
      <c r="A1322" s="11" t="s">
        <v>282</v>
      </c>
      <c r="B1322" s="11">
        <v>41</v>
      </c>
      <c r="C1322" s="11" t="s">
        <v>136</v>
      </c>
      <c r="D1322" s="11" t="s">
        <v>117</v>
      </c>
      <c r="E1322" s="19">
        <v>-1250561.18</v>
      </c>
      <c r="F1322" s="11" t="s">
        <v>133</v>
      </c>
    </row>
    <row r="1323" spans="1:6" x14ac:dyDescent="0.25">
      <c r="A1323" s="11" t="s">
        <v>282</v>
      </c>
      <c r="B1323" s="11">
        <v>41</v>
      </c>
      <c r="C1323" s="11" t="s">
        <v>137</v>
      </c>
      <c r="D1323" s="11" t="s">
        <v>425</v>
      </c>
      <c r="E1323" s="19">
        <v>5916339.6799999997</v>
      </c>
      <c r="F1323" s="11" t="s">
        <v>133</v>
      </c>
    </row>
    <row r="1324" spans="1:6" x14ac:dyDescent="0.25">
      <c r="A1324" s="11" t="s">
        <v>282</v>
      </c>
      <c r="B1324" s="11">
        <v>41</v>
      </c>
      <c r="C1324" s="11" t="s">
        <v>137</v>
      </c>
      <c r="D1324" s="11" t="s">
        <v>216</v>
      </c>
      <c r="E1324" s="19">
        <v>-16020</v>
      </c>
      <c r="F1324" s="11" t="s">
        <v>133</v>
      </c>
    </row>
    <row r="1325" spans="1:6" x14ac:dyDescent="0.25">
      <c r="A1325" s="11" t="s">
        <v>282</v>
      </c>
      <c r="B1325" s="11">
        <v>41</v>
      </c>
      <c r="C1325" s="11" t="s">
        <v>137</v>
      </c>
      <c r="D1325" s="11" t="s">
        <v>426</v>
      </c>
      <c r="E1325" s="19">
        <v>5280000</v>
      </c>
      <c r="F1325" s="11" t="s">
        <v>133</v>
      </c>
    </row>
    <row r="1326" spans="1:6" x14ac:dyDescent="0.25">
      <c r="A1326" s="11" t="s">
        <v>282</v>
      </c>
      <c r="B1326" s="11">
        <v>41</v>
      </c>
      <c r="C1326" s="11" t="s">
        <v>137</v>
      </c>
      <c r="D1326" s="11" t="s">
        <v>421</v>
      </c>
      <c r="E1326" s="19">
        <v>-3360000</v>
      </c>
      <c r="F1326" s="11" t="s">
        <v>133</v>
      </c>
    </row>
    <row r="1327" spans="1:6" x14ac:dyDescent="0.25">
      <c r="A1327" s="11" t="s">
        <v>282</v>
      </c>
      <c r="B1327" s="11">
        <v>41</v>
      </c>
      <c r="C1327" s="11" t="s">
        <v>137</v>
      </c>
      <c r="D1327" s="11" t="s">
        <v>117</v>
      </c>
      <c r="E1327" s="19">
        <v>-1505410.07</v>
      </c>
      <c r="F1327" s="11" t="s">
        <v>133</v>
      </c>
    </row>
    <row r="1328" spans="1:6" x14ac:dyDescent="0.25">
      <c r="A1328" s="11" t="s">
        <v>282</v>
      </c>
      <c r="B1328" s="11">
        <v>41</v>
      </c>
      <c r="C1328" s="11" t="s">
        <v>139</v>
      </c>
      <c r="D1328" s="11" t="s">
        <v>425</v>
      </c>
      <c r="E1328" s="19">
        <v>7888452.9100000001</v>
      </c>
      <c r="F1328" s="11" t="s">
        <v>133</v>
      </c>
    </row>
    <row r="1329" spans="1:6" x14ac:dyDescent="0.25">
      <c r="A1329" s="11" t="s">
        <v>282</v>
      </c>
      <c r="B1329" s="11">
        <v>41</v>
      </c>
      <c r="C1329" s="11" t="s">
        <v>139</v>
      </c>
      <c r="D1329" s="11" t="s">
        <v>216</v>
      </c>
      <c r="E1329" s="19">
        <v>-21360</v>
      </c>
      <c r="F1329" s="11" t="s">
        <v>133</v>
      </c>
    </row>
    <row r="1330" spans="1:6" x14ac:dyDescent="0.25">
      <c r="A1330" s="11" t="s">
        <v>282</v>
      </c>
      <c r="B1330" s="11">
        <v>41</v>
      </c>
      <c r="C1330" s="11" t="s">
        <v>139</v>
      </c>
      <c r="D1330" s="11" t="s">
        <v>426</v>
      </c>
      <c r="E1330" s="19">
        <v>7040000</v>
      </c>
      <c r="F1330" s="11" t="s">
        <v>133</v>
      </c>
    </row>
    <row r="1331" spans="1:6" x14ac:dyDescent="0.25">
      <c r="A1331" s="11" t="s">
        <v>282</v>
      </c>
      <c r="B1331" s="11">
        <v>41</v>
      </c>
      <c r="C1331" s="11" t="s">
        <v>139</v>
      </c>
      <c r="D1331" s="11" t="s">
        <v>421</v>
      </c>
      <c r="E1331" s="19">
        <v>-4480000</v>
      </c>
      <c r="F1331" s="11" t="s">
        <v>133</v>
      </c>
    </row>
    <row r="1332" spans="1:6" x14ac:dyDescent="0.25">
      <c r="A1332" s="11" t="s">
        <v>282</v>
      </c>
      <c r="B1332" s="11">
        <v>41</v>
      </c>
      <c r="C1332" s="11" t="s">
        <v>139</v>
      </c>
      <c r="D1332" s="11" t="s">
        <v>117</v>
      </c>
      <c r="E1332" s="19">
        <v>-2007213.44</v>
      </c>
      <c r="F1332" s="11" t="s">
        <v>133</v>
      </c>
    </row>
    <row r="1333" spans="1:6" x14ac:dyDescent="0.25">
      <c r="A1333" s="11" t="s">
        <v>282</v>
      </c>
      <c r="B1333" s="11">
        <v>41</v>
      </c>
      <c r="C1333" s="11" t="s">
        <v>422</v>
      </c>
      <c r="D1333" s="11" t="s">
        <v>117</v>
      </c>
      <c r="E1333" s="19">
        <v>12340000</v>
      </c>
      <c r="F1333" s="11" t="s">
        <v>423</v>
      </c>
    </row>
    <row r="1334" spans="1:6" x14ac:dyDescent="0.25">
      <c r="A1334" s="11" t="s">
        <v>282</v>
      </c>
      <c r="B1334" s="11">
        <v>41</v>
      </c>
      <c r="C1334" s="11" t="s">
        <v>422</v>
      </c>
      <c r="D1334" s="11" t="s">
        <v>425</v>
      </c>
      <c r="E1334" s="19">
        <v>12340000</v>
      </c>
      <c r="F1334" s="11" t="s">
        <v>423</v>
      </c>
    </row>
    <row r="1335" spans="1:6" x14ac:dyDescent="0.25">
      <c r="A1335" s="11" t="s">
        <v>282</v>
      </c>
      <c r="B1335" s="11">
        <v>41</v>
      </c>
      <c r="C1335" s="11" t="s">
        <v>72</v>
      </c>
      <c r="D1335" s="11" t="s">
        <v>117</v>
      </c>
      <c r="E1335" s="19">
        <v>215578.59</v>
      </c>
      <c r="F1335" s="11" t="s">
        <v>131</v>
      </c>
    </row>
    <row r="1336" spans="1:6" x14ac:dyDescent="0.25">
      <c r="A1336" s="11" t="s">
        <v>282</v>
      </c>
      <c r="B1336" s="11">
        <v>41</v>
      </c>
      <c r="C1336" s="11" t="s">
        <v>132</v>
      </c>
      <c r="D1336" s="11" t="s">
        <v>117</v>
      </c>
      <c r="E1336" s="19">
        <v>2680802.7400000002</v>
      </c>
      <c r="F1336" s="11" t="s">
        <v>133</v>
      </c>
    </row>
    <row r="1337" spans="1:6" x14ac:dyDescent="0.25">
      <c r="A1337" s="11" t="s">
        <v>282</v>
      </c>
      <c r="B1337" s="11">
        <v>41</v>
      </c>
      <c r="C1337" s="11" t="s">
        <v>134</v>
      </c>
      <c r="D1337" s="11" t="s">
        <v>117</v>
      </c>
      <c r="E1337" s="19">
        <v>1429761.47</v>
      </c>
      <c r="F1337" s="11" t="s">
        <v>133</v>
      </c>
    </row>
    <row r="1338" spans="1:6" x14ac:dyDescent="0.25">
      <c r="A1338" s="11" t="s">
        <v>282</v>
      </c>
      <c r="B1338" s="11">
        <v>41</v>
      </c>
      <c r="C1338" s="11" t="s">
        <v>135</v>
      </c>
      <c r="D1338" s="11" t="s">
        <v>117</v>
      </c>
      <c r="E1338" s="19">
        <v>1300253.8500000001</v>
      </c>
      <c r="F1338" s="11" t="s">
        <v>133</v>
      </c>
    </row>
    <row r="1339" spans="1:6" x14ac:dyDescent="0.25">
      <c r="A1339" s="11" t="s">
        <v>282</v>
      </c>
      <c r="B1339" s="11">
        <v>41</v>
      </c>
      <c r="C1339" s="11" t="s">
        <v>136</v>
      </c>
      <c r="D1339" s="11" t="s">
        <v>117</v>
      </c>
      <c r="E1339" s="19">
        <v>928752.76</v>
      </c>
      <c r="F1339" s="11" t="s">
        <v>133</v>
      </c>
    </row>
    <row r="1340" spans="1:6" x14ac:dyDescent="0.25">
      <c r="A1340" s="11" t="s">
        <v>282</v>
      </c>
      <c r="B1340" s="11">
        <v>41</v>
      </c>
      <c r="C1340" s="11" t="s">
        <v>137</v>
      </c>
      <c r="D1340" s="11" t="s">
        <v>117</v>
      </c>
      <c r="E1340" s="19">
        <v>1119235.96</v>
      </c>
      <c r="F1340" s="11" t="s">
        <v>133</v>
      </c>
    </row>
    <row r="1341" spans="1:6" x14ac:dyDescent="0.25">
      <c r="A1341" s="11" t="s">
        <v>282</v>
      </c>
      <c r="B1341" s="11">
        <v>41</v>
      </c>
      <c r="C1341" s="11" t="s">
        <v>139</v>
      </c>
      <c r="D1341" s="11" t="s">
        <v>117</v>
      </c>
      <c r="E1341" s="19">
        <v>1492314.63</v>
      </c>
      <c r="F1341" s="11" t="s">
        <v>133</v>
      </c>
    </row>
    <row r="1342" spans="1:6" x14ac:dyDescent="0.25">
      <c r="A1342" s="11" t="s">
        <v>282</v>
      </c>
      <c r="B1342" s="11">
        <v>41</v>
      </c>
      <c r="C1342" s="11" t="s">
        <v>422</v>
      </c>
      <c r="D1342" s="11" t="s">
        <v>117</v>
      </c>
      <c r="E1342" s="19">
        <v>-9166700</v>
      </c>
      <c r="F1342" s="11" t="s">
        <v>423</v>
      </c>
    </row>
    <row r="1343" spans="1:6" x14ac:dyDescent="0.25">
      <c r="A1343" s="11" t="s">
        <v>283</v>
      </c>
      <c r="B1343" s="11">
        <v>42</v>
      </c>
      <c r="C1343" s="11" t="s">
        <v>72</v>
      </c>
      <c r="D1343" s="11" t="s">
        <v>216</v>
      </c>
      <c r="E1343" s="19">
        <v>-2670</v>
      </c>
      <c r="F1343" s="11" t="s">
        <v>131</v>
      </c>
    </row>
    <row r="1344" spans="1:6" x14ac:dyDescent="0.25">
      <c r="A1344" s="11" t="s">
        <v>283</v>
      </c>
      <c r="B1344" s="11">
        <v>42</v>
      </c>
      <c r="C1344" s="11" t="s">
        <v>132</v>
      </c>
      <c r="D1344" s="11" t="s">
        <v>216</v>
      </c>
      <c r="E1344" s="19">
        <v>-40050</v>
      </c>
      <c r="F1344" s="11" t="s">
        <v>133</v>
      </c>
    </row>
    <row r="1345" spans="1:6" x14ac:dyDescent="0.25">
      <c r="A1345" s="11" t="s">
        <v>283</v>
      </c>
      <c r="B1345" s="11">
        <v>42</v>
      </c>
      <c r="C1345" s="11" t="s">
        <v>134</v>
      </c>
      <c r="D1345" s="11" t="s">
        <v>216</v>
      </c>
      <c r="E1345" s="19">
        <v>-21360</v>
      </c>
      <c r="F1345" s="11" t="s">
        <v>133</v>
      </c>
    </row>
    <row r="1346" spans="1:6" x14ac:dyDescent="0.25">
      <c r="A1346" s="11" t="s">
        <v>283</v>
      </c>
      <c r="B1346" s="11">
        <v>42</v>
      </c>
      <c r="C1346" s="11" t="s">
        <v>135</v>
      </c>
      <c r="D1346" s="11" t="s">
        <v>216</v>
      </c>
      <c r="E1346" s="19">
        <v>-18690</v>
      </c>
      <c r="F1346" s="11" t="s">
        <v>133</v>
      </c>
    </row>
    <row r="1347" spans="1:6" x14ac:dyDescent="0.25">
      <c r="A1347" s="11" t="s">
        <v>283</v>
      </c>
      <c r="B1347" s="11">
        <v>42</v>
      </c>
      <c r="C1347" s="11" t="s">
        <v>136</v>
      </c>
      <c r="D1347" s="11" t="s">
        <v>216</v>
      </c>
      <c r="E1347" s="19">
        <v>-13350</v>
      </c>
      <c r="F1347" s="11" t="s">
        <v>133</v>
      </c>
    </row>
    <row r="1348" spans="1:6" x14ac:dyDescent="0.25">
      <c r="A1348" s="11" t="s">
        <v>283</v>
      </c>
      <c r="B1348" s="11">
        <v>42</v>
      </c>
      <c r="C1348" s="11" t="s">
        <v>137</v>
      </c>
      <c r="D1348" s="11" t="s">
        <v>216</v>
      </c>
      <c r="E1348" s="19">
        <v>-16020</v>
      </c>
      <c r="F1348" s="11" t="s">
        <v>133</v>
      </c>
    </row>
    <row r="1349" spans="1:6" x14ac:dyDescent="0.25">
      <c r="A1349" s="11" t="s">
        <v>283</v>
      </c>
      <c r="B1349" s="11">
        <v>42</v>
      </c>
      <c r="C1349" s="11" t="s">
        <v>139</v>
      </c>
      <c r="D1349" s="11" t="s">
        <v>216</v>
      </c>
      <c r="E1349" s="19">
        <v>-21360</v>
      </c>
      <c r="F1349" s="11" t="s">
        <v>133</v>
      </c>
    </row>
    <row r="1350" spans="1:6" x14ac:dyDescent="0.25">
      <c r="A1350" s="11" t="s">
        <v>283</v>
      </c>
      <c r="B1350" s="11">
        <v>42</v>
      </c>
      <c r="C1350" s="11" t="s">
        <v>72</v>
      </c>
      <c r="D1350" s="11" t="s">
        <v>117</v>
      </c>
      <c r="E1350" s="19">
        <v>618.80999999999995</v>
      </c>
      <c r="F1350" s="11" t="s">
        <v>131</v>
      </c>
    </row>
    <row r="1351" spans="1:6" x14ac:dyDescent="0.25">
      <c r="A1351" s="11" t="s">
        <v>283</v>
      </c>
      <c r="B1351" s="11">
        <v>42</v>
      </c>
      <c r="C1351" s="11" t="s">
        <v>132</v>
      </c>
      <c r="D1351" s="11" t="s">
        <v>117</v>
      </c>
      <c r="E1351" s="19">
        <v>7827.97</v>
      </c>
      <c r="F1351" s="11" t="s">
        <v>133</v>
      </c>
    </row>
    <row r="1352" spans="1:6" x14ac:dyDescent="0.25">
      <c r="A1352" s="11" t="s">
        <v>283</v>
      </c>
      <c r="B1352" s="11">
        <v>42</v>
      </c>
      <c r="C1352" s="11" t="s">
        <v>134</v>
      </c>
      <c r="D1352" s="11" t="s">
        <v>117</v>
      </c>
      <c r="E1352" s="19">
        <v>4174.91</v>
      </c>
      <c r="F1352" s="11" t="s">
        <v>133</v>
      </c>
    </row>
    <row r="1353" spans="1:6" x14ac:dyDescent="0.25">
      <c r="A1353" s="11" t="s">
        <v>283</v>
      </c>
      <c r="B1353" s="11">
        <v>42</v>
      </c>
      <c r="C1353" s="11" t="s">
        <v>135</v>
      </c>
      <c r="D1353" s="11" t="s">
        <v>117</v>
      </c>
      <c r="E1353" s="19">
        <v>3782.49</v>
      </c>
      <c r="F1353" s="11" t="s">
        <v>133</v>
      </c>
    </row>
    <row r="1354" spans="1:6" x14ac:dyDescent="0.25">
      <c r="A1354" s="11" t="s">
        <v>283</v>
      </c>
      <c r="B1354" s="11">
        <v>42</v>
      </c>
      <c r="C1354" s="11" t="s">
        <v>136</v>
      </c>
      <c r="D1354" s="11" t="s">
        <v>117</v>
      </c>
      <c r="E1354" s="19">
        <v>2701.78</v>
      </c>
      <c r="F1354" s="11" t="s">
        <v>133</v>
      </c>
    </row>
    <row r="1355" spans="1:6" x14ac:dyDescent="0.25">
      <c r="A1355" s="11" t="s">
        <v>283</v>
      </c>
      <c r="B1355" s="11">
        <v>42</v>
      </c>
      <c r="C1355" s="11" t="s">
        <v>137</v>
      </c>
      <c r="D1355" s="11" t="s">
        <v>117</v>
      </c>
      <c r="E1355" s="19">
        <v>3254.58</v>
      </c>
      <c r="F1355" s="11" t="s">
        <v>133</v>
      </c>
    </row>
    <row r="1356" spans="1:6" x14ac:dyDescent="0.25">
      <c r="A1356" s="11" t="s">
        <v>283</v>
      </c>
      <c r="B1356" s="11">
        <v>42</v>
      </c>
      <c r="C1356" s="11" t="s">
        <v>139</v>
      </c>
      <c r="D1356" s="11" t="s">
        <v>117</v>
      </c>
      <c r="E1356" s="19">
        <v>4339.46</v>
      </c>
      <c r="F1356" s="11" t="s">
        <v>133</v>
      </c>
    </row>
    <row r="1357" spans="1:6" x14ac:dyDescent="0.25">
      <c r="A1357" s="11" t="s">
        <v>283</v>
      </c>
      <c r="B1357" s="11">
        <v>42</v>
      </c>
      <c r="C1357" s="11" t="s">
        <v>422</v>
      </c>
      <c r="D1357" s="11" t="s">
        <v>117</v>
      </c>
      <c r="E1357" s="19">
        <v>-26700</v>
      </c>
      <c r="F1357" s="11" t="s">
        <v>423</v>
      </c>
    </row>
    <row r="1358" spans="1:6" x14ac:dyDescent="0.25">
      <c r="A1358" s="11" t="s">
        <v>284</v>
      </c>
      <c r="B1358" s="11">
        <v>43</v>
      </c>
      <c r="C1358" s="11" t="s">
        <v>72</v>
      </c>
      <c r="D1358" s="11" t="s">
        <v>216</v>
      </c>
      <c r="E1358" s="19">
        <v>-2670</v>
      </c>
      <c r="F1358" s="11" t="s">
        <v>131</v>
      </c>
    </row>
    <row r="1359" spans="1:6" x14ac:dyDescent="0.25">
      <c r="A1359" s="11" t="s">
        <v>284</v>
      </c>
      <c r="B1359" s="11">
        <v>43</v>
      </c>
      <c r="C1359" s="11" t="s">
        <v>132</v>
      </c>
      <c r="D1359" s="11" t="s">
        <v>216</v>
      </c>
      <c r="E1359" s="19">
        <v>-40050</v>
      </c>
      <c r="F1359" s="11" t="s">
        <v>133</v>
      </c>
    </row>
    <row r="1360" spans="1:6" x14ac:dyDescent="0.25">
      <c r="A1360" s="11" t="s">
        <v>284</v>
      </c>
      <c r="B1360" s="11">
        <v>43</v>
      </c>
      <c r="C1360" s="11" t="s">
        <v>134</v>
      </c>
      <c r="D1360" s="11" t="s">
        <v>216</v>
      </c>
      <c r="E1360" s="19">
        <v>-21360</v>
      </c>
      <c r="F1360" s="11" t="s">
        <v>133</v>
      </c>
    </row>
    <row r="1361" spans="1:6" x14ac:dyDescent="0.25">
      <c r="A1361" s="11" t="s">
        <v>284</v>
      </c>
      <c r="B1361" s="11">
        <v>43</v>
      </c>
      <c r="C1361" s="11" t="s">
        <v>135</v>
      </c>
      <c r="D1361" s="11" t="s">
        <v>216</v>
      </c>
      <c r="E1361" s="19">
        <v>-18690</v>
      </c>
      <c r="F1361" s="11" t="s">
        <v>133</v>
      </c>
    </row>
    <row r="1362" spans="1:6" x14ac:dyDescent="0.25">
      <c r="A1362" s="11" t="s">
        <v>284</v>
      </c>
      <c r="B1362" s="11">
        <v>43</v>
      </c>
      <c r="C1362" s="11" t="s">
        <v>136</v>
      </c>
      <c r="D1362" s="11" t="s">
        <v>216</v>
      </c>
      <c r="E1362" s="19">
        <v>-13350</v>
      </c>
      <c r="F1362" s="11" t="s">
        <v>133</v>
      </c>
    </row>
    <row r="1363" spans="1:6" x14ac:dyDescent="0.25">
      <c r="A1363" s="11" t="s">
        <v>284</v>
      </c>
      <c r="B1363" s="11">
        <v>43</v>
      </c>
      <c r="C1363" s="11" t="s">
        <v>137</v>
      </c>
      <c r="D1363" s="11" t="s">
        <v>216</v>
      </c>
      <c r="E1363" s="19">
        <v>-16020</v>
      </c>
      <c r="F1363" s="11" t="s">
        <v>133</v>
      </c>
    </row>
    <row r="1364" spans="1:6" x14ac:dyDescent="0.25">
      <c r="A1364" s="11" t="s">
        <v>284</v>
      </c>
      <c r="B1364" s="11">
        <v>43</v>
      </c>
      <c r="C1364" s="11" t="s">
        <v>139</v>
      </c>
      <c r="D1364" s="11" t="s">
        <v>216</v>
      </c>
      <c r="E1364" s="19">
        <v>-21360</v>
      </c>
      <c r="F1364" s="11" t="s">
        <v>133</v>
      </c>
    </row>
    <row r="1365" spans="1:6" x14ac:dyDescent="0.25">
      <c r="A1365" s="11" t="s">
        <v>284</v>
      </c>
      <c r="B1365" s="11">
        <v>43</v>
      </c>
      <c r="C1365" s="11" t="s">
        <v>72</v>
      </c>
      <c r="D1365" s="11" t="s">
        <v>117</v>
      </c>
      <c r="E1365" s="19">
        <v>618.92999999999995</v>
      </c>
      <c r="F1365" s="11" t="s">
        <v>131</v>
      </c>
    </row>
    <row r="1366" spans="1:6" x14ac:dyDescent="0.25">
      <c r="A1366" s="11" t="s">
        <v>284</v>
      </c>
      <c r="B1366" s="11">
        <v>43</v>
      </c>
      <c r="C1366" s="11" t="s">
        <v>132</v>
      </c>
      <c r="D1366" s="11" t="s">
        <v>117</v>
      </c>
      <c r="E1366" s="19">
        <v>7827.73</v>
      </c>
      <c r="F1366" s="11" t="s">
        <v>133</v>
      </c>
    </row>
    <row r="1367" spans="1:6" x14ac:dyDescent="0.25">
      <c r="A1367" s="11" t="s">
        <v>284</v>
      </c>
      <c r="B1367" s="11">
        <v>43</v>
      </c>
      <c r="C1367" s="11" t="s">
        <v>134</v>
      </c>
      <c r="D1367" s="11" t="s">
        <v>117</v>
      </c>
      <c r="E1367" s="19">
        <v>4174.79</v>
      </c>
      <c r="F1367" s="11" t="s">
        <v>133</v>
      </c>
    </row>
    <row r="1368" spans="1:6" x14ac:dyDescent="0.25">
      <c r="A1368" s="11" t="s">
        <v>284</v>
      </c>
      <c r="B1368" s="11">
        <v>43</v>
      </c>
      <c r="C1368" s="11" t="s">
        <v>135</v>
      </c>
      <c r="D1368" s="11" t="s">
        <v>117</v>
      </c>
      <c r="E1368" s="19">
        <v>3782.56</v>
      </c>
      <c r="F1368" s="11" t="s">
        <v>133</v>
      </c>
    </row>
    <row r="1369" spans="1:6" x14ac:dyDescent="0.25">
      <c r="A1369" s="11" t="s">
        <v>284</v>
      </c>
      <c r="B1369" s="11">
        <v>43</v>
      </c>
      <c r="C1369" s="11" t="s">
        <v>136</v>
      </c>
      <c r="D1369" s="11" t="s">
        <v>117</v>
      </c>
      <c r="E1369" s="19">
        <v>2701.82</v>
      </c>
      <c r="F1369" s="11" t="s">
        <v>133</v>
      </c>
    </row>
    <row r="1370" spans="1:6" x14ac:dyDescent="0.25">
      <c r="A1370" s="11" t="s">
        <v>284</v>
      </c>
      <c r="B1370" s="11">
        <v>43</v>
      </c>
      <c r="C1370" s="11" t="s">
        <v>137</v>
      </c>
      <c r="D1370" s="11" t="s">
        <v>117</v>
      </c>
      <c r="E1370" s="19">
        <v>3254.66</v>
      </c>
      <c r="F1370" s="11" t="s">
        <v>133</v>
      </c>
    </row>
    <row r="1371" spans="1:6" x14ac:dyDescent="0.25">
      <c r="A1371" s="11" t="s">
        <v>284</v>
      </c>
      <c r="B1371" s="11">
        <v>43</v>
      </c>
      <c r="C1371" s="11" t="s">
        <v>139</v>
      </c>
      <c r="D1371" s="11" t="s">
        <v>117</v>
      </c>
      <c r="E1371" s="19">
        <v>4339.51</v>
      </c>
      <c r="F1371" s="11" t="s">
        <v>133</v>
      </c>
    </row>
    <row r="1372" spans="1:6" x14ac:dyDescent="0.25">
      <c r="A1372" s="11" t="s">
        <v>284</v>
      </c>
      <c r="B1372" s="11">
        <v>43</v>
      </c>
      <c r="C1372" s="11" t="s">
        <v>422</v>
      </c>
      <c r="D1372" s="11" t="s">
        <v>117</v>
      </c>
      <c r="E1372" s="19">
        <v>-26700</v>
      </c>
      <c r="F1372" s="11" t="s">
        <v>423</v>
      </c>
    </row>
    <row r="1373" spans="1:6" x14ac:dyDescent="0.25">
      <c r="A1373" s="11" t="s">
        <v>285</v>
      </c>
      <c r="B1373" s="11">
        <v>44</v>
      </c>
      <c r="C1373" s="11" t="s">
        <v>72</v>
      </c>
      <c r="D1373" s="11" t="s">
        <v>216</v>
      </c>
      <c r="E1373" s="19">
        <v>-2670</v>
      </c>
      <c r="F1373" s="11" t="s">
        <v>131</v>
      </c>
    </row>
    <row r="1374" spans="1:6" x14ac:dyDescent="0.25">
      <c r="A1374" s="11" t="s">
        <v>285</v>
      </c>
      <c r="B1374" s="11">
        <v>44</v>
      </c>
      <c r="C1374" s="11" t="s">
        <v>132</v>
      </c>
      <c r="D1374" s="11" t="s">
        <v>216</v>
      </c>
      <c r="E1374" s="19">
        <v>-40050</v>
      </c>
      <c r="F1374" s="11" t="s">
        <v>133</v>
      </c>
    </row>
    <row r="1375" spans="1:6" x14ac:dyDescent="0.25">
      <c r="A1375" s="11" t="s">
        <v>285</v>
      </c>
      <c r="B1375" s="11">
        <v>44</v>
      </c>
      <c r="C1375" s="11" t="s">
        <v>134</v>
      </c>
      <c r="D1375" s="11" t="s">
        <v>216</v>
      </c>
      <c r="E1375" s="19">
        <v>-21360</v>
      </c>
      <c r="F1375" s="11" t="s">
        <v>133</v>
      </c>
    </row>
    <row r="1376" spans="1:6" x14ac:dyDescent="0.25">
      <c r="A1376" s="11" t="s">
        <v>285</v>
      </c>
      <c r="B1376" s="11">
        <v>44</v>
      </c>
      <c r="C1376" s="11" t="s">
        <v>135</v>
      </c>
      <c r="D1376" s="11" t="s">
        <v>216</v>
      </c>
      <c r="E1376" s="19">
        <v>-18690</v>
      </c>
      <c r="F1376" s="11" t="s">
        <v>133</v>
      </c>
    </row>
    <row r="1377" spans="1:6" x14ac:dyDescent="0.25">
      <c r="A1377" s="11" t="s">
        <v>285</v>
      </c>
      <c r="B1377" s="11">
        <v>44</v>
      </c>
      <c r="C1377" s="11" t="s">
        <v>136</v>
      </c>
      <c r="D1377" s="11" t="s">
        <v>216</v>
      </c>
      <c r="E1377" s="19">
        <v>-13350</v>
      </c>
      <c r="F1377" s="11" t="s">
        <v>133</v>
      </c>
    </row>
    <row r="1378" spans="1:6" x14ac:dyDescent="0.25">
      <c r="A1378" s="11" t="s">
        <v>285</v>
      </c>
      <c r="B1378" s="11">
        <v>44</v>
      </c>
      <c r="C1378" s="11" t="s">
        <v>137</v>
      </c>
      <c r="D1378" s="11" t="s">
        <v>216</v>
      </c>
      <c r="E1378" s="19">
        <v>-16020</v>
      </c>
      <c r="F1378" s="11" t="s">
        <v>133</v>
      </c>
    </row>
    <row r="1379" spans="1:6" x14ac:dyDescent="0.25">
      <c r="A1379" s="11" t="s">
        <v>285</v>
      </c>
      <c r="B1379" s="11">
        <v>44</v>
      </c>
      <c r="C1379" s="11" t="s">
        <v>139</v>
      </c>
      <c r="D1379" s="11" t="s">
        <v>216</v>
      </c>
      <c r="E1379" s="19">
        <v>-21360</v>
      </c>
      <c r="F1379" s="11" t="s">
        <v>133</v>
      </c>
    </row>
    <row r="1380" spans="1:6" x14ac:dyDescent="0.25">
      <c r="A1380" s="11" t="s">
        <v>285</v>
      </c>
      <c r="B1380" s="11">
        <v>44</v>
      </c>
      <c r="C1380" s="11" t="s">
        <v>72</v>
      </c>
      <c r="D1380" s="11" t="s">
        <v>117</v>
      </c>
      <c r="E1380" s="19">
        <v>619.03</v>
      </c>
      <c r="F1380" s="11" t="s">
        <v>131</v>
      </c>
    </row>
    <row r="1381" spans="1:6" x14ac:dyDescent="0.25">
      <c r="A1381" s="11" t="s">
        <v>285</v>
      </c>
      <c r="B1381" s="11">
        <v>44</v>
      </c>
      <c r="C1381" s="11" t="s">
        <v>132</v>
      </c>
      <c r="D1381" s="11" t="s">
        <v>117</v>
      </c>
      <c r="E1381" s="19">
        <v>7827.49</v>
      </c>
      <c r="F1381" s="11" t="s">
        <v>133</v>
      </c>
    </row>
    <row r="1382" spans="1:6" x14ac:dyDescent="0.25">
      <c r="A1382" s="11" t="s">
        <v>285</v>
      </c>
      <c r="B1382" s="11">
        <v>44</v>
      </c>
      <c r="C1382" s="11" t="s">
        <v>134</v>
      </c>
      <c r="D1382" s="11" t="s">
        <v>117</v>
      </c>
      <c r="E1382" s="19">
        <v>4174.66</v>
      </c>
      <c r="F1382" s="11" t="s">
        <v>133</v>
      </c>
    </row>
    <row r="1383" spans="1:6" x14ac:dyDescent="0.25">
      <c r="A1383" s="11" t="s">
        <v>285</v>
      </c>
      <c r="B1383" s="11">
        <v>44</v>
      </c>
      <c r="C1383" s="11" t="s">
        <v>135</v>
      </c>
      <c r="D1383" s="11" t="s">
        <v>117</v>
      </c>
      <c r="E1383" s="19">
        <v>3782.61</v>
      </c>
      <c r="F1383" s="11" t="s">
        <v>133</v>
      </c>
    </row>
    <row r="1384" spans="1:6" x14ac:dyDescent="0.25">
      <c r="A1384" s="11" t="s">
        <v>285</v>
      </c>
      <c r="B1384" s="11">
        <v>44</v>
      </c>
      <c r="C1384" s="11" t="s">
        <v>136</v>
      </c>
      <c r="D1384" s="11" t="s">
        <v>117</v>
      </c>
      <c r="E1384" s="19">
        <v>2701.87</v>
      </c>
      <c r="F1384" s="11" t="s">
        <v>133</v>
      </c>
    </row>
    <row r="1385" spans="1:6" x14ac:dyDescent="0.25">
      <c r="A1385" s="11" t="s">
        <v>285</v>
      </c>
      <c r="B1385" s="11">
        <v>44</v>
      </c>
      <c r="C1385" s="11" t="s">
        <v>137</v>
      </c>
      <c r="D1385" s="11" t="s">
        <v>117</v>
      </c>
      <c r="E1385" s="19">
        <v>3254.71</v>
      </c>
      <c r="F1385" s="11" t="s">
        <v>133</v>
      </c>
    </row>
    <row r="1386" spans="1:6" x14ac:dyDescent="0.25">
      <c r="A1386" s="11" t="s">
        <v>285</v>
      </c>
      <c r="B1386" s="11">
        <v>44</v>
      </c>
      <c r="C1386" s="11" t="s">
        <v>139</v>
      </c>
      <c r="D1386" s="11" t="s">
        <v>117</v>
      </c>
      <c r="E1386" s="19">
        <v>4339.63</v>
      </c>
      <c r="F1386" s="11" t="s">
        <v>133</v>
      </c>
    </row>
    <row r="1387" spans="1:6" x14ac:dyDescent="0.25">
      <c r="A1387" s="11" t="s">
        <v>285</v>
      </c>
      <c r="B1387" s="11">
        <v>44</v>
      </c>
      <c r="C1387" s="11" t="s">
        <v>422</v>
      </c>
      <c r="D1387" s="11" t="s">
        <v>117</v>
      </c>
      <c r="E1387" s="19">
        <v>-26700</v>
      </c>
      <c r="F1387" s="11" t="s">
        <v>423</v>
      </c>
    </row>
    <row r="1388" spans="1:6" x14ac:dyDescent="0.25">
      <c r="A1388" s="11" t="s">
        <v>286</v>
      </c>
      <c r="B1388" s="11">
        <v>45</v>
      </c>
      <c r="C1388" s="11" t="s">
        <v>72</v>
      </c>
      <c r="D1388" s="11" t="s">
        <v>425</v>
      </c>
      <c r="E1388" s="19">
        <v>38785.129999999997</v>
      </c>
      <c r="F1388" s="11" t="s">
        <v>131</v>
      </c>
    </row>
    <row r="1389" spans="1:6" x14ac:dyDescent="0.25">
      <c r="A1389" s="11" t="s">
        <v>286</v>
      </c>
      <c r="B1389" s="11">
        <v>45</v>
      </c>
      <c r="C1389" s="11" t="s">
        <v>72</v>
      </c>
      <c r="D1389" s="11" t="s">
        <v>216</v>
      </c>
      <c r="E1389" s="19">
        <v>-2670</v>
      </c>
      <c r="F1389" s="11" t="s">
        <v>131</v>
      </c>
    </row>
    <row r="1390" spans="1:6" x14ac:dyDescent="0.25">
      <c r="A1390" s="11" t="s">
        <v>286</v>
      </c>
      <c r="B1390" s="11">
        <v>45</v>
      </c>
      <c r="C1390" s="11" t="s">
        <v>72</v>
      </c>
      <c r="D1390" s="11" t="s">
        <v>117</v>
      </c>
      <c r="E1390" s="19">
        <v>-11740.4</v>
      </c>
      <c r="F1390" s="11" t="s">
        <v>131</v>
      </c>
    </row>
    <row r="1391" spans="1:6" x14ac:dyDescent="0.25">
      <c r="A1391" s="11" t="s">
        <v>286</v>
      </c>
      <c r="B1391" s="11">
        <v>45</v>
      </c>
      <c r="C1391" s="11" t="s">
        <v>132</v>
      </c>
      <c r="D1391" s="11" t="s">
        <v>425</v>
      </c>
      <c r="E1391" s="19">
        <v>597511.68999999994</v>
      </c>
      <c r="F1391" s="11" t="s">
        <v>133</v>
      </c>
    </row>
    <row r="1392" spans="1:6" x14ac:dyDescent="0.25">
      <c r="A1392" s="11" t="s">
        <v>286</v>
      </c>
      <c r="B1392" s="11">
        <v>45</v>
      </c>
      <c r="C1392" s="11" t="s">
        <v>132</v>
      </c>
      <c r="D1392" s="11" t="s">
        <v>216</v>
      </c>
      <c r="E1392" s="19">
        <v>-40050</v>
      </c>
      <c r="F1392" s="11" t="s">
        <v>133</v>
      </c>
    </row>
    <row r="1393" spans="1:6" x14ac:dyDescent="0.25">
      <c r="A1393" s="11" t="s">
        <v>286</v>
      </c>
      <c r="B1393" s="11">
        <v>45</v>
      </c>
      <c r="C1393" s="11" t="s">
        <v>132</v>
      </c>
      <c r="D1393" s="11" t="s">
        <v>117</v>
      </c>
      <c r="E1393" s="19">
        <v>-143021.78</v>
      </c>
      <c r="F1393" s="11" t="s">
        <v>133</v>
      </c>
    </row>
    <row r="1394" spans="1:6" x14ac:dyDescent="0.25">
      <c r="A1394" s="11" t="s">
        <v>286</v>
      </c>
      <c r="B1394" s="11">
        <v>45</v>
      </c>
      <c r="C1394" s="11" t="s">
        <v>134</v>
      </c>
      <c r="D1394" s="11" t="s">
        <v>425</v>
      </c>
      <c r="E1394" s="19">
        <v>318672.90000000002</v>
      </c>
      <c r="F1394" s="11" t="s">
        <v>133</v>
      </c>
    </row>
    <row r="1395" spans="1:6" x14ac:dyDescent="0.25">
      <c r="A1395" s="11" t="s">
        <v>286</v>
      </c>
      <c r="B1395" s="11">
        <v>45</v>
      </c>
      <c r="C1395" s="11" t="s">
        <v>134</v>
      </c>
      <c r="D1395" s="11" t="s">
        <v>216</v>
      </c>
      <c r="E1395" s="19">
        <v>-21360</v>
      </c>
      <c r="F1395" s="11" t="s">
        <v>133</v>
      </c>
    </row>
    <row r="1396" spans="1:6" x14ac:dyDescent="0.25">
      <c r="A1396" s="11" t="s">
        <v>286</v>
      </c>
      <c r="B1396" s="11">
        <v>45</v>
      </c>
      <c r="C1396" s="11" t="s">
        <v>134</v>
      </c>
      <c r="D1396" s="11" t="s">
        <v>117</v>
      </c>
      <c r="E1396" s="19">
        <v>-76278.28</v>
      </c>
      <c r="F1396" s="11" t="s">
        <v>133</v>
      </c>
    </row>
    <row r="1397" spans="1:6" x14ac:dyDescent="0.25">
      <c r="A1397" s="11" t="s">
        <v>286</v>
      </c>
      <c r="B1397" s="11">
        <v>45</v>
      </c>
      <c r="C1397" s="11" t="s">
        <v>135</v>
      </c>
      <c r="D1397" s="11" t="s">
        <v>425</v>
      </c>
      <c r="E1397" s="19">
        <v>274512.83</v>
      </c>
      <c r="F1397" s="11" t="s">
        <v>133</v>
      </c>
    </row>
    <row r="1398" spans="1:6" x14ac:dyDescent="0.25">
      <c r="A1398" s="11" t="s">
        <v>286</v>
      </c>
      <c r="B1398" s="11">
        <v>45</v>
      </c>
      <c r="C1398" s="11" t="s">
        <v>135</v>
      </c>
      <c r="D1398" s="11" t="s">
        <v>216</v>
      </c>
      <c r="E1398" s="19">
        <v>-18690</v>
      </c>
      <c r="F1398" s="11" t="s">
        <v>133</v>
      </c>
    </row>
    <row r="1399" spans="1:6" x14ac:dyDescent="0.25">
      <c r="A1399" s="11" t="s">
        <v>286</v>
      </c>
      <c r="B1399" s="11">
        <v>45</v>
      </c>
      <c r="C1399" s="11" t="s">
        <v>135</v>
      </c>
      <c r="D1399" s="11" t="s">
        <v>117</v>
      </c>
      <c r="E1399" s="19">
        <v>-70472.3</v>
      </c>
      <c r="F1399" s="11" t="s">
        <v>133</v>
      </c>
    </row>
    <row r="1400" spans="1:6" x14ac:dyDescent="0.25">
      <c r="A1400" s="11" t="s">
        <v>286</v>
      </c>
      <c r="B1400" s="11">
        <v>45</v>
      </c>
      <c r="C1400" s="11" t="s">
        <v>136</v>
      </c>
      <c r="D1400" s="11" t="s">
        <v>425</v>
      </c>
      <c r="E1400" s="19">
        <v>196080.59</v>
      </c>
      <c r="F1400" s="11" t="s">
        <v>133</v>
      </c>
    </row>
    <row r="1401" spans="1:6" x14ac:dyDescent="0.25">
      <c r="A1401" s="11" t="s">
        <v>286</v>
      </c>
      <c r="B1401" s="11">
        <v>45</v>
      </c>
      <c r="C1401" s="11" t="s">
        <v>136</v>
      </c>
      <c r="D1401" s="11" t="s">
        <v>216</v>
      </c>
      <c r="E1401" s="19">
        <v>-13350</v>
      </c>
      <c r="F1401" s="11" t="s">
        <v>133</v>
      </c>
    </row>
    <row r="1402" spans="1:6" x14ac:dyDescent="0.25">
      <c r="A1402" s="11" t="s">
        <v>286</v>
      </c>
      <c r="B1402" s="11">
        <v>45</v>
      </c>
      <c r="C1402" s="11" t="s">
        <v>136</v>
      </c>
      <c r="D1402" s="11" t="s">
        <v>117</v>
      </c>
      <c r="E1402" s="19">
        <v>-50337.36</v>
      </c>
      <c r="F1402" s="11" t="s">
        <v>133</v>
      </c>
    </row>
    <row r="1403" spans="1:6" x14ac:dyDescent="0.25">
      <c r="A1403" s="11" t="s">
        <v>286</v>
      </c>
      <c r="B1403" s="11">
        <v>45</v>
      </c>
      <c r="C1403" s="11" t="s">
        <v>137</v>
      </c>
      <c r="D1403" s="11" t="s">
        <v>425</v>
      </c>
      <c r="E1403" s="19">
        <v>234968.15</v>
      </c>
      <c r="F1403" s="11" t="s">
        <v>133</v>
      </c>
    </row>
    <row r="1404" spans="1:6" x14ac:dyDescent="0.25">
      <c r="A1404" s="11" t="s">
        <v>286</v>
      </c>
      <c r="B1404" s="11">
        <v>45</v>
      </c>
      <c r="C1404" s="11" t="s">
        <v>137</v>
      </c>
      <c r="D1404" s="11" t="s">
        <v>216</v>
      </c>
      <c r="E1404" s="19">
        <v>-16020</v>
      </c>
      <c r="F1404" s="11" t="s">
        <v>133</v>
      </c>
    </row>
    <row r="1405" spans="1:6" x14ac:dyDescent="0.25">
      <c r="A1405" s="11" t="s">
        <v>286</v>
      </c>
      <c r="B1405" s="11">
        <v>45</v>
      </c>
      <c r="C1405" s="11" t="s">
        <v>137</v>
      </c>
      <c r="D1405" s="11" t="s">
        <v>117</v>
      </c>
      <c r="E1405" s="19">
        <v>-60688.04</v>
      </c>
      <c r="F1405" s="11" t="s">
        <v>133</v>
      </c>
    </row>
    <row r="1406" spans="1:6" x14ac:dyDescent="0.25">
      <c r="A1406" s="11" t="s">
        <v>286</v>
      </c>
      <c r="B1406" s="11">
        <v>45</v>
      </c>
      <c r="C1406" s="11" t="s">
        <v>139</v>
      </c>
      <c r="D1406" s="11" t="s">
        <v>425</v>
      </c>
      <c r="E1406" s="19">
        <v>313290.87</v>
      </c>
      <c r="F1406" s="11" t="s">
        <v>133</v>
      </c>
    </row>
    <row r="1407" spans="1:6" x14ac:dyDescent="0.25">
      <c r="A1407" s="11" t="s">
        <v>286</v>
      </c>
      <c r="B1407" s="11">
        <v>45</v>
      </c>
      <c r="C1407" s="11" t="s">
        <v>139</v>
      </c>
      <c r="D1407" s="11" t="s">
        <v>216</v>
      </c>
      <c r="E1407" s="19">
        <v>-21360</v>
      </c>
      <c r="F1407" s="11" t="s">
        <v>133</v>
      </c>
    </row>
    <row r="1408" spans="1:6" x14ac:dyDescent="0.25">
      <c r="A1408" s="11" t="s">
        <v>286</v>
      </c>
      <c r="B1408" s="11">
        <v>45</v>
      </c>
      <c r="C1408" s="11" t="s">
        <v>139</v>
      </c>
      <c r="D1408" s="11" t="s">
        <v>117</v>
      </c>
      <c r="E1408" s="19">
        <v>-80917.38</v>
      </c>
      <c r="F1408" s="11" t="s">
        <v>133</v>
      </c>
    </row>
    <row r="1409" spans="1:6" x14ac:dyDescent="0.25">
      <c r="A1409" s="11" t="s">
        <v>286</v>
      </c>
      <c r="B1409" s="11">
        <v>45</v>
      </c>
      <c r="C1409" s="11" t="s">
        <v>422</v>
      </c>
      <c r="D1409" s="11" t="s">
        <v>117</v>
      </c>
      <c r="E1409" s="19">
        <v>493455.54</v>
      </c>
      <c r="F1409" s="11" t="s">
        <v>423</v>
      </c>
    </row>
    <row r="1410" spans="1:6" x14ac:dyDescent="0.25">
      <c r="A1410" s="11" t="s">
        <v>286</v>
      </c>
      <c r="B1410" s="11">
        <v>45</v>
      </c>
      <c r="C1410" s="11" t="s">
        <v>422</v>
      </c>
      <c r="D1410" s="11" t="s">
        <v>425</v>
      </c>
      <c r="E1410" s="19">
        <v>493455.54</v>
      </c>
      <c r="F1410" s="11" t="s">
        <v>423</v>
      </c>
    </row>
    <row r="1411" spans="1:6" x14ac:dyDescent="0.25">
      <c r="A1411" s="11" t="s">
        <v>286</v>
      </c>
      <c r="B1411" s="11">
        <v>45</v>
      </c>
      <c r="C1411" s="11" t="s">
        <v>72</v>
      </c>
      <c r="D1411" s="11" t="s">
        <v>117</v>
      </c>
      <c r="E1411" s="19">
        <v>12082.68</v>
      </c>
      <c r="F1411" s="11" t="s">
        <v>131</v>
      </c>
    </row>
    <row r="1412" spans="1:6" x14ac:dyDescent="0.25">
      <c r="A1412" s="11" t="s">
        <v>286</v>
      </c>
      <c r="B1412" s="11">
        <v>45</v>
      </c>
      <c r="C1412" s="11" t="s">
        <v>132</v>
      </c>
      <c r="D1412" s="11" t="s">
        <v>117</v>
      </c>
      <c r="E1412" s="19">
        <v>152441.76999999999</v>
      </c>
      <c r="F1412" s="11" t="s">
        <v>133</v>
      </c>
    </row>
    <row r="1413" spans="1:6" x14ac:dyDescent="0.25">
      <c r="A1413" s="11" t="s">
        <v>286</v>
      </c>
      <c r="B1413" s="11">
        <v>45</v>
      </c>
      <c r="C1413" s="11" t="s">
        <v>134</v>
      </c>
      <c r="D1413" s="11" t="s">
        <v>117</v>
      </c>
      <c r="E1413" s="19">
        <v>81302.28</v>
      </c>
      <c r="F1413" s="11" t="s">
        <v>133</v>
      </c>
    </row>
    <row r="1414" spans="1:6" x14ac:dyDescent="0.25">
      <c r="A1414" s="11" t="s">
        <v>286</v>
      </c>
      <c r="B1414" s="11">
        <v>45</v>
      </c>
      <c r="C1414" s="11" t="s">
        <v>135</v>
      </c>
      <c r="D1414" s="11" t="s">
        <v>117</v>
      </c>
      <c r="E1414" s="19">
        <v>73702.89</v>
      </c>
      <c r="F1414" s="11" t="s">
        <v>133</v>
      </c>
    </row>
    <row r="1415" spans="1:6" x14ac:dyDescent="0.25">
      <c r="A1415" s="11" t="s">
        <v>286</v>
      </c>
      <c r="B1415" s="11">
        <v>45</v>
      </c>
      <c r="C1415" s="11" t="s">
        <v>136</v>
      </c>
      <c r="D1415" s="11" t="s">
        <v>117</v>
      </c>
      <c r="E1415" s="19">
        <v>52644.92</v>
      </c>
      <c r="F1415" s="11" t="s">
        <v>133</v>
      </c>
    </row>
    <row r="1416" spans="1:6" x14ac:dyDescent="0.25">
      <c r="A1416" s="11" t="s">
        <v>286</v>
      </c>
      <c r="B1416" s="11">
        <v>45</v>
      </c>
      <c r="C1416" s="11" t="s">
        <v>137</v>
      </c>
      <c r="D1416" s="11" t="s">
        <v>117</v>
      </c>
      <c r="E1416" s="19">
        <v>63420.43</v>
      </c>
      <c r="F1416" s="11" t="s">
        <v>133</v>
      </c>
    </row>
    <row r="1417" spans="1:6" x14ac:dyDescent="0.25">
      <c r="A1417" s="11" t="s">
        <v>286</v>
      </c>
      <c r="B1417" s="11">
        <v>45</v>
      </c>
      <c r="C1417" s="11" t="s">
        <v>139</v>
      </c>
      <c r="D1417" s="11" t="s">
        <v>117</v>
      </c>
      <c r="E1417" s="19">
        <v>84560.57</v>
      </c>
      <c r="F1417" s="11" t="s">
        <v>133</v>
      </c>
    </row>
    <row r="1418" spans="1:6" x14ac:dyDescent="0.25">
      <c r="A1418" s="11" t="s">
        <v>286</v>
      </c>
      <c r="B1418" s="11">
        <v>45</v>
      </c>
      <c r="C1418" s="11" t="s">
        <v>422</v>
      </c>
      <c r="D1418" s="11" t="s">
        <v>117</v>
      </c>
      <c r="E1418" s="19">
        <v>-520155.54</v>
      </c>
      <c r="F1418" s="11" t="s">
        <v>423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3"/>
  <sheetViews>
    <sheetView workbookViewId="0"/>
  </sheetViews>
  <sheetFormatPr defaultRowHeight="15" x14ac:dyDescent="0.25"/>
  <cols>
    <col min="1" max="1" width="46" customWidth="1"/>
    <col min="2" max="10" width="17" customWidth="1"/>
  </cols>
  <sheetData>
    <row r="1" spans="1:10" ht="18" customHeight="1" x14ac:dyDescent="0.25">
      <c r="A1" s="9" t="s">
        <v>46</v>
      </c>
    </row>
    <row r="2" spans="1:10" x14ac:dyDescent="0.25">
      <c r="A2" s="10" t="s">
        <v>427</v>
      </c>
    </row>
    <row r="4" spans="1:10" x14ac:dyDescent="0.25">
      <c r="A4" s="5" t="s">
        <v>307</v>
      </c>
      <c r="B4" s="5" t="s">
        <v>131</v>
      </c>
      <c r="C4" s="5" t="s">
        <v>428</v>
      </c>
      <c r="D4" s="5" t="s">
        <v>429</v>
      </c>
      <c r="E4" s="5" t="s">
        <v>430</v>
      </c>
      <c r="F4" s="5" t="s">
        <v>431</v>
      </c>
      <c r="G4" s="5" t="s">
        <v>432</v>
      </c>
      <c r="H4" s="5" t="s">
        <v>433</v>
      </c>
      <c r="I4" s="5" t="s">
        <v>434</v>
      </c>
      <c r="J4" s="5" t="s">
        <v>140</v>
      </c>
    </row>
    <row r="5" spans="1:10" ht="45.95" customHeight="1" x14ac:dyDescent="0.25">
      <c r="A5" s="7" t="s">
        <v>435</v>
      </c>
      <c r="B5" s="29" t="s">
        <v>72</v>
      </c>
      <c r="C5" s="29" t="s">
        <v>132</v>
      </c>
      <c r="D5" s="29" t="s">
        <v>134</v>
      </c>
      <c r="E5" s="29" t="s">
        <v>135</v>
      </c>
      <c r="F5" s="29" t="s">
        <v>136</v>
      </c>
      <c r="G5" s="29" t="s">
        <v>137</v>
      </c>
      <c r="H5" s="29" t="s">
        <v>139</v>
      </c>
      <c r="I5" s="29" t="s">
        <v>422</v>
      </c>
    </row>
    <row r="6" spans="1:10" x14ac:dyDescent="0.25">
      <c r="A6" s="8" t="s">
        <v>128</v>
      </c>
      <c r="B6" s="25">
        <f>Partners!C5</f>
        <v>5000000</v>
      </c>
      <c r="C6" s="25">
        <f>Partners!C6</f>
        <v>75000000</v>
      </c>
      <c r="D6" s="25">
        <f>Partners!C7</f>
        <v>40000000</v>
      </c>
      <c r="E6" s="25">
        <f>Partners!C8</f>
        <v>35000000</v>
      </c>
      <c r="F6" s="25">
        <f>Partners!C9</f>
        <v>25000000</v>
      </c>
      <c r="G6" s="25">
        <f>Partners!C10</f>
        <v>30000000</v>
      </c>
      <c r="H6" s="25">
        <f>Partners!C11</f>
        <v>40000000</v>
      </c>
      <c r="J6" s="16">
        <f>SUM(B6:H6)</f>
        <v>250000000</v>
      </c>
    </row>
    <row r="7" spans="1:10" x14ac:dyDescent="0.25">
      <c r="A7" s="8" t="s">
        <v>129</v>
      </c>
      <c r="B7" s="15">
        <f t="shared" ref="B7:H7" si="0">B6/$J$6</f>
        <v>0.02</v>
      </c>
      <c r="C7" s="15">
        <f t="shared" si="0"/>
        <v>0.3</v>
      </c>
      <c r="D7" s="15">
        <f t="shared" si="0"/>
        <v>0.16</v>
      </c>
      <c r="E7" s="15">
        <f t="shared" si="0"/>
        <v>0.14000000000000001</v>
      </c>
      <c r="F7" s="15">
        <f t="shared" si="0"/>
        <v>0.1</v>
      </c>
      <c r="G7" s="15">
        <f t="shared" si="0"/>
        <v>0.12</v>
      </c>
      <c r="H7" s="15">
        <f t="shared" si="0"/>
        <v>0.16</v>
      </c>
    </row>
    <row r="9" spans="1:10" x14ac:dyDescent="0.25">
      <c r="A9" s="8" t="s">
        <v>334</v>
      </c>
      <c r="B9" s="25">
        <f>ROUND(SUMIFS(Allocations!$E$5:$E$1700,Allocations!$C$5:$C$1700,"Stanmere Capital GP I, LLC",Allocations!$D$5:$D$1700,"Capital contributions"),2)</f>
        <v>4266000.01</v>
      </c>
      <c r="C9" s="25">
        <f>ROUND(SUMIFS(Allocations!$E$5:$E$1700,Allocations!$C$5:$C$1700,"Kelbrook State Retirement System",Allocations!$D$5:$D$1700,"Capital contributions"),2)</f>
        <v>63990000.009999998</v>
      </c>
      <c r="D9" s="25">
        <f>ROUND(SUMIFS(Allocations!$E$5:$E$1700,Allocations!$C$5:$C$1700,"Ashfield University Endowment",Allocations!$D$5:$D$1700,"Capital contributions"),2)</f>
        <v>34127999.979999997</v>
      </c>
      <c r="E9" s="25">
        <f>ROUND(SUMIFS(Allocations!$E$5:$E$1700,Allocations!$C$5:$C$1700,"Pellham Mutual Insurance Company",Allocations!$D$5:$D$1700,"Capital contributions"),2)</f>
        <v>29862000</v>
      </c>
      <c r="F9" s="25">
        <f>ROUND(SUMIFS(Allocations!$E$5:$E$1700,Allocations!$C$5:$C$1700,"Lanternwood Partners, L.P. (fund-of-funds)",Allocations!$D$5:$D$1700,"Capital contributions"),2)</f>
        <v>21330000</v>
      </c>
      <c r="G9" s="25">
        <f>ROUND(SUMIFS(Allocations!$E$5:$E$1700,Allocations!$C$5:$C$1700,"Ellinwood Family Holdings, LLC",Allocations!$D$5:$D$1700,"Capital contributions"),2)</f>
        <v>25596000</v>
      </c>
      <c r="H9" s="25">
        <f>ROUND(SUMIFS(Allocations!$E$5:$E$1700,Allocations!$C$5:$C$1700,"Northmoor Trust Company",Allocations!$D$5:$D$1700,"Capital contributions"),2)</f>
        <v>34128000</v>
      </c>
      <c r="I9" s="25">
        <f>ROUND(SUMIFS(Allocations!$E$5:$E$1700,Allocations!$C$5:$C$1700,"Stanmere Carry I, LLC",Allocations!$D$5:$D$1700,"Capital contributions"),2)</f>
        <v>0</v>
      </c>
      <c r="J9" s="16">
        <f t="shared" ref="J9:J18" si="1">ROUND(SUM(B9:I9),2)</f>
        <v>213300000</v>
      </c>
    </row>
    <row r="10" spans="1:10" x14ac:dyDescent="0.25">
      <c r="A10" s="8" t="s">
        <v>436</v>
      </c>
      <c r="B10" s="25">
        <f>ROUND(SUMIFS(Allocations!$E$5:$E$1700,Allocations!$C$5:$C$1700,"Stanmere Capital GP I, LLC",Allocations!$D$5:$D$1700,"Equalization"),2)</f>
        <v>0</v>
      </c>
      <c r="C10" s="25">
        <f>ROUND(SUMIFS(Allocations!$E$5:$E$1700,Allocations!$C$5:$C$1700,"Kelbrook State Retirement System",Allocations!$D$5:$D$1700,"Equalization"),2)</f>
        <v>0</v>
      </c>
      <c r="D10" s="25">
        <f>ROUND(SUMIFS(Allocations!$E$5:$E$1700,Allocations!$C$5:$C$1700,"Ashfield University Endowment",Allocations!$D$5:$D$1700,"Equalization"),2)</f>
        <v>0</v>
      </c>
      <c r="E10" s="25">
        <f>ROUND(SUMIFS(Allocations!$E$5:$E$1700,Allocations!$C$5:$C$1700,"Pellham Mutual Insurance Company",Allocations!$D$5:$D$1700,"Equalization"),2)</f>
        <v>0</v>
      </c>
      <c r="F10" s="25">
        <f>ROUND(SUMIFS(Allocations!$E$5:$E$1700,Allocations!$C$5:$C$1700,"Lanternwood Partners, L.P. (fund-of-funds)",Allocations!$D$5:$D$1700,"Equalization"),2)</f>
        <v>0</v>
      </c>
      <c r="G10" s="25">
        <f>ROUND(SUMIFS(Allocations!$E$5:$E$1700,Allocations!$C$5:$C$1700,"Ellinwood Family Holdings, LLC",Allocations!$D$5:$D$1700,"Equalization"),2)</f>
        <v>0</v>
      </c>
      <c r="H10" s="25">
        <f>ROUND(SUMIFS(Allocations!$E$5:$E$1700,Allocations!$C$5:$C$1700,"Northmoor Trust Company",Allocations!$D$5:$D$1700,"Equalization"),2)</f>
        <v>0</v>
      </c>
      <c r="I10" s="25">
        <f>ROUND(SUMIFS(Allocations!$E$5:$E$1700,Allocations!$C$5:$C$1700,"Stanmere Carry I, LLC",Allocations!$D$5:$D$1700,"Equalization"),2)</f>
        <v>0</v>
      </c>
      <c r="J10" s="16">
        <f t="shared" si="1"/>
        <v>0</v>
      </c>
    </row>
    <row r="11" spans="1:10" x14ac:dyDescent="0.25">
      <c r="A11" s="8" t="s">
        <v>419</v>
      </c>
      <c r="B11" s="25">
        <f>ROUND(SUMIFS(Allocations!$E$5:$E$1700,Allocations!$C$5:$C$1700,"Stanmere Capital GP I, LLC",Allocations!$D$5:$D$1700,"Offering costs charged to capital"),2)</f>
        <v>-37500</v>
      </c>
      <c r="C11" s="25">
        <f>ROUND(SUMIFS(Allocations!$E$5:$E$1700,Allocations!$C$5:$C$1700,"Kelbrook State Retirement System",Allocations!$D$5:$D$1700,"Offering costs charged to capital"),2)</f>
        <v>-562500</v>
      </c>
      <c r="D11" s="25">
        <f>ROUND(SUMIFS(Allocations!$E$5:$E$1700,Allocations!$C$5:$C$1700,"Ashfield University Endowment",Allocations!$D$5:$D$1700,"Offering costs charged to capital"),2)</f>
        <v>-300000</v>
      </c>
      <c r="E11" s="25">
        <f>ROUND(SUMIFS(Allocations!$E$5:$E$1700,Allocations!$C$5:$C$1700,"Pellham Mutual Insurance Company",Allocations!$D$5:$D$1700,"Offering costs charged to capital"),2)</f>
        <v>0</v>
      </c>
      <c r="F11" s="25">
        <f>ROUND(SUMIFS(Allocations!$E$5:$E$1700,Allocations!$C$5:$C$1700,"Lanternwood Partners, L.P. (fund-of-funds)",Allocations!$D$5:$D$1700,"Offering costs charged to capital"),2)</f>
        <v>0</v>
      </c>
      <c r="G11" s="25">
        <f>ROUND(SUMIFS(Allocations!$E$5:$E$1700,Allocations!$C$5:$C$1700,"Ellinwood Family Holdings, LLC",Allocations!$D$5:$D$1700,"Offering costs charged to capital"),2)</f>
        <v>0</v>
      </c>
      <c r="H11" s="25">
        <f>ROUND(SUMIFS(Allocations!$E$5:$E$1700,Allocations!$C$5:$C$1700,"Northmoor Trust Company",Allocations!$D$5:$D$1700,"Offering costs charged to capital"),2)</f>
        <v>0</v>
      </c>
      <c r="I11" s="25">
        <f>ROUND(SUMIFS(Allocations!$E$5:$E$1700,Allocations!$C$5:$C$1700,"Stanmere Carry I, LLC",Allocations!$D$5:$D$1700,"Offering costs charged to capital"),2)</f>
        <v>0</v>
      </c>
      <c r="J11" s="16">
        <f t="shared" si="1"/>
        <v>-900000</v>
      </c>
    </row>
    <row r="12" spans="1:10" x14ac:dyDescent="0.25">
      <c r="A12" s="8" t="s">
        <v>424</v>
      </c>
      <c r="B12" s="25">
        <f>ROUND(SUMIFS(Allocations!$E$5:$E$1700,Allocations!$C$5:$C$1700,"Stanmere Capital GP I, LLC",Allocations!$D$5:$D$1700,"Investment income"),2)</f>
        <v>323845.53000000003</v>
      </c>
      <c r="C12" s="25">
        <f>ROUND(SUMIFS(Allocations!$E$5:$E$1700,Allocations!$C$5:$C$1700,"Kelbrook State Retirement System",Allocations!$D$5:$D$1700,"Investment income"),2)</f>
        <v>4857683.3099999996</v>
      </c>
      <c r="D12" s="25">
        <f>ROUND(SUMIFS(Allocations!$E$5:$E$1700,Allocations!$C$5:$C$1700,"Ashfield University Endowment",Allocations!$D$5:$D$1700,"Investment income"),2)</f>
        <v>2590764.44</v>
      </c>
      <c r="E12" s="25">
        <f>ROUND(SUMIFS(Allocations!$E$5:$E$1700,Allocations!$C$5:$C$1700,"Pellham Mutual Insurance Company",Allocations!$D$5:$D$1700,"Investment income"),2)</f>
        <v>2266918.87</v>
      </c>
      <c r="F12" s="25">
        <f>ROUND(SUMIFS(Allocations!$E$5:$E$1700,Allocations!$C$5:$C$1700,"Lanternwood Partners, L.P. (fund-of-funds)",Allocations!$D$5:$D$1700,"Investment income"),2)</f>
        <v>1619227.75</v>
      </c>
      <c r="G12" s="25">
        <f>ROUND(SUMIFS(Allocations!$E$5:$E$1700,Allocations!$C$5:$C$1700,"Ellinwood Family Holdings, LLC",Allocations!$D$5:$D$1700,"Investment income"),2)</f>
        <v>1943073.33</v>
      </c>
      <c r="H12" s="25">
        <f>ROUND(SUMIFS(Allocations!$E$5:$E$1700,Allocations!$C$5:$C$1700,"Northmoor Trust Company",Allocations!$D$5:$D$1700,"Investment income"),2)</f>
        <v>2590764.4700000002</v>
      </c>
      <c r="I12" s="25">
        <f>ROUND(SUMIFS(Allocations!$E$5:$E$1700,Allocations!$C$5:$C$1700,"Stanmere Carry I, LLC",Allocations!$D$5:$D$1700,"Investment income"),2)</f>
        <v>0</v>
      </c>
      <c r="J12" s="16">
        <f t="shared" si="1"/>
        <v>16192277.699999999</v>
      </c>
    </row>
    <row r="13" spans="1:10" x14ac:dyDescent="0.25">
      <c r="A13" s="8" t="s">
        <v>197</v>
      </c>
      <c r="B13" s="25">
        <f>ROUND(SUMIFS(Allocations!$E$5:$E$1700,Allocations!$C$5:$C$1700,"Stanmere Capital GP I, LLC",Allocations!$D$5:$D$1700,"Management fee"),2)</f>
        <v>0</v>
      </c>
      <c r="C13" s="25">
        <f>ROUND(SUMIFS(Allocations!$E$5:$E$1700,Allocations!$C$5:$C$1700,"Kelbrook State Retirement System",Allocations!$D$5:$D$1700,"Management fee"),2)</f>
        <v>-11078571.449999999</v>
      </c>
      <c r="D13" s="25">
        <f>ROUND(SUMIFS(Allocations!$E$5:$E$1700,Allocations!$C$5:$C$1700,"Ashfield University Endowment",Allocations!$D$5:$D$1700,"Management fee"),2)</f>
        <v>-5908571.4000000004</v>
      </c>
      <c r="E13" s="25">
        <f>ROUND(SUMIFS(Allocations!$E$5:$E$1700,Allocations!$C$5:$C$1700,"Pellham Mutual Insurance Company",Allocations!$D$5:$D$1700,"Management fee"),2)</f>
        <v>-4645000.04</v>
      </c>
      <c r="F13" s="25">
        <f>ROUND(SUMIFS(Allocations!$E$5:$E$1700,Allocations!$C$5:$C$1700,"Lanternwood Partners, L.P. (fund-of-funds)",Allocations!$D$5:$D$1700,"Management fee"),2)</f>
        <v>-3317857.12</v>
      </c>
      <c r="G13" s="25">
        <f>ROUND(SUMIFS(Allocations!$E$5:$E$1700,Allocations!$C$5:$C$1700,"Ellinwood Family Holdings, LLC",Allocations!$D$5:$D$1700,"Management fee"),2)</f>
        <v>-3681428.6</v>
      </c>
      <c r="H13" s="25">
        <f>ROUND(SUMIFS(Allocations!$E$5:$E$1700,Allocations!$C$5:$C$1700,"Northmoor Trust Company",Allocations!$D$5:$D$1700,"Management fee"),2)</f>
        <v>-4908571.3899999997</v>
      </c>
      <c r="I13" s="25">
        <f>ROUND(SUMIFS(Allocations!$E$5:$E$1700,Allocations!$C$5:$C$1700,"Stanmere Carry I, LLC",Allocations!$D$5:$D$1700,"Management fee"),2)</f>
        <v>0</v>
      </c>
      <c r="J13" s="16">
        <f t="shared" si="1"/>
        <v>-33540000</v>
      </c>
    </row>
    <row r="14" spans="1:10" x14ac:dyDescent="0.25">
      <c r="A14" s="8" t="s">
        <v>216</v>
      </c>
      <c r="B14" s="25">
        <f>ROUND(SUMIFS(Allocations!$E$5:$E$1700,Allocations!$C$5:$C$1700,"Stanmere Capital GP I, LLC",Allocations!$D$5:$D$1700,"Other fund expenses"),2)</f>
        <v>-186047.23</v>
      </c>
      <c r="C14" s="25">
        <f>ROUND(SUMIFS(Allocations!$E$5:$E$1700,Allocations!$C$5:$C$1700,"Kelbrook State Retirement System",Allocations!$D$5:$D$1700,"Other fund expenses"),2)</f>
        <v>-2790708.34</v>
      </c>
      <c r="D14" s="25">
        <f>ROUND(SUMIFS(Allocations!$E$5:$E$1700,Allocations!$C$5:$C$1700,"Ashfield University Endowment",Allocations!$D$5:$D$1700,"Other fund expenses"),2)</f>
        <v>-1488377.77</v>
      </c>
      <c r="E14" s="25">
        <f>ROUND(SUMIFS(Allocations!$E$5:$E$1700,Allocations!$C$5:$C$1700,"Pellham Mutual Insurance Company",Allocations!$D$5:$D$1700,"Other fund expenses"),2)</f>
        <v>-841205.55</v>
      </c>
      <c r="F14" s="25">
        <f>ROUND(SUMIFS(Allocations!$E$5:$E$1700,Allocations!$C$5:$C$1700,"Lanternwood Partners, L.P. (fund-of-funds)",Allocations!$D$5:$D$1700,"Other fund expenses"),2)</f>
        <v>-600861.11</v>
      </c>
      <c r="G14" s="25">
        <f>ROUND(SUMIFS(Allocations!$E$5:$E$1700,Allocations!$C$5:$C$1700,"Ellinwood Family Holdings, LLC",Allocations!$D$5:$D$1700,"Other fund expenses"),2)</f>
        <v>-676200</v>
      </c>
      <c r="H14" s="25">
        <f>ROUND(SUMIFS(Allocations!$E$5:$E$1700,Allocations!$C$5:$C$1700,"Northmoor Trust Company",Allocations!$D$5:$D$1700,"Other fund expenses"),2)</f>
        <v>-901600</v>
      </c>
      <c r="I14" s="25">
        <f>ROUND(SUMIFS(Allocations!$E$5:$E$1700,Allocations!$C$5:$C$1700,"Stanmere Carry I, LLC",Allocations!$D$5:$D$1700,"Other fund expenses"),2)</f>
        <v>0</v>
      </c>
      <c r="J14" s="16">
        <f t="shared" si="1"/>
        <v>-7485000</v>
      </c>
    </row>
    <row r="15" spans="1:10" x14ac:dyDescent="0.25">
      <c r="A15" s="8" t="s">
        <v>426</v>
      </c>
      <c r="B15" s="25">
        <f>ROUND(SUMIFS(Allocations!$E$5:$E$1700,Allocations!$C$5:$C$1700,"Stanmere Capital GP I, LLC",Allocations!$D$5:$D$1700,"Realized gain/(loss)"),2)</f>
        <v>4496000</v>
      </c>
      <c r="C15" s="25">
        <f>ROUND(SUMIFS(Allocations!$E$5:$E$1700,Allocations!$C$5:$C$1700,"Kelbrook State Retirement System",Allocations!$D$5:$D$1700,"Realized gain/(loss)"),2)</f>
        <v>67440000</v>
      </c>
      <c r="D15" s="25">
        <f>ROUND(SUMIFS(Allocations!$E$5:$E$1700,Allocations!$C$5:$C$1700,"Ashfield University Endowment",Allocations!$D$5:$D$1700,"Realized gain/(loss)"),2)</f>
        <v>35968000</v>
      </c>
      <c r="E15" s="25">
        <f>ROUND(SUMIFS(Allocations!$E$5:$E$1700,Allocations!$C$5:$C$1700,"Pellham Mutual Insurance Company",Allocations!$D$5:$D$1700,"Realized gain/(loss)"),2)</f>
        <v>31472000</v>
      </c>
      <c r="F15" s="25">
        <f>ROUND(SUMIFS(Allocations!$E$5:$E$1700,Allocations!$C$5:$C$1700,"Lanternwood Partners, L.P. (fund-of-funds)",Allocations!$D$5:$D$1700,"Realized gain/(loss)"),2)</f>
        <v>22480000</v>
      </c>
      <c r="G15" s="25">
        <f>ROUND(SUMIFS(Allocations!$E$5:$E$1700,Allocations!$C$5:$C$1700,"Ellinwood Family Holdings, LLC",Allocations!$D$5:$D$1700,"Realized gain/(loss)"),2)</f>
        <v>26976000</v>
      </c>
      <c r="H15" s="25">
        <f>ROUND(SUMIFS(Allocations!$E$5:$E$1700,Allocations!$C$5:$C$1700,"Northmoor Trust Company",Allocations!$D$5:$D$1700,"Realized gain/(loss)"),2)</f>
        <v>35968000</v>
      </c>
      <c r="I15" s="25">
        <f>ROUND(SUMIFS(Allocations!$E$5:$E$1700,Allocations!$C$5:$C$1700,"Stanmere Carry I, LLC",Allocations!$D$5:$D$1700,"Realized gain/(loss)"),2)</f>
        <v>0</v>
      </c>
      <c r="J15" s="16">
        <f t="shared" si="1"/>
        <v>224800000</v>
      </c>
    </row>
    <row r="16" spans="1:10" x14ac:dyDescent="0.25">
      <c r="A16" s="8" t="s">
        <v>421</v>
      </c>
      <c r="B16" s="25">
        <f>ROUND(SUMIFS(Allocations!$E$5:$E$1700,Allocations!$C$5:$C$1700,"Stanmere Capital GP I, LLC",Allocations!$D$5:$D$1700,"Change in unrealized"),2)</f>
        <v>11666.67</v>
      </c>
      <c r="C16" s="25">
        <f>ROUND(SUMIFS(Allocations!$E$5:$E$1700,Allocations!$C$5:$C$1700,"Kelbrook State Retirement System",Allocations!$D$5:$D$1700,"Change in unrealized"),2)</f>
        <v>175000</v>
      </c>
      <c r="D16" s="25">
        <f>ROUND(SUMIFS(Allocations!$E$5:$E$1700,Allocations!$C$5:$C$1700,"Ashfield University Endowment",Allocations!$D$5:$D$1700,"Change in unrealized"),2)</f>
        <v>93333.33</v>
      </c>
      <c r="E16" s="25">
        <f>ROUND(SUMIFS(Allocations!$E$5:$E$1700,Allocations!$C$5:$C$1700,"Pellham Mutual Insurance Company",Allocations!$D$5:$D$1700,"Change in unrealized"),2)</f>
        <v>81666.67</v>
      </c>
      <c r="F16" s="25">
        <f>ROUND(SUMIFS(Allocations!$E$5:$E$1700,Allocations!$C$5:$C$1700,"Lanternwood Partners, L.P. (fund-of-funds)",Allocations!$D$5:$D$1700,"Change in unrealized"),2)</f>
        <v>58333.33</v>
      </c>
      <c r="G16" s="25">
        <f>ROUND(SUMIFS(Allocations!$E$5:$E$1700,Allocations!$C$5:$C$1700,"Ellinwood Family Holdings, LLC",Allocations!$D$5:$D$1700,"Change in unrealized"),2)</f>
        <v>-180000</v>
      </c>
      <c r="H16" s="25">
        <f>ROUND(SUMIFS(Allocations!$E$5:$E$1700,Allocations!$C$5:$C$1700,"Northmoor Trust Company",Allocations!$D$5:$D$1700,"Change in unrealized"),2)</f>
        <v>-240000</v>
      </c>
      <c r="I16" s="25">
        <f>ROUND(SUMIFS(Allocations!$E$5:$E$1700,Allocations!$C$5:$C$1700,"Stanmere Carry I, LLC",Allocations!$D$5:$D$1700,"Change in unrealized"),2)</f>
        <v>0</v>
      </c>
      <c r="J16" s="16">
        <f t="shared" si="1"/>
        <v>0</v>
      </c>
    </row>
    <row r="17" spans="1:10" x14ac:dyDescent="0.25">
      <c r="A17" s="8" t="s">
        <v>117</v>
      </c>
      <c r="B17" s="25">
        <f>ROUND(SUMIFS(Allocations!$E$5:$E$1700,Allocations!$C$5:$C$1700,"Stanmere Capital GP I, LLC",Allocations!$D$5:$D$1700,"Carried interest"),2)</f>
        <v>-920649.15</v>
      </c>
      <c r="C17" s="25">
        <f>ROUND(SUMIFS(Allocations!$E$5:$E$1700,Allocations!$C$5:$C$1700,"Kelbrook State Retirement System",Allocations!$D$5:$D$1700,"Carried interest"),2)</f>
        <v>-11610716.560000001</v>
      </c>
      <c r="D17" s="25">
        <f>ROUND(SUMIFS(Allocations!$E$5:$E$1700,Allocations!$C$5:$C$1700,"Ashfield University Endowment",Allocations!$D$5:$D$1700,"Carried interest"),2)</f>
        <v>-6192382.1799999997</v>
      </c>
      <c r="E17" s="25">
        <f>ROUND(SUMIFS(Allocations!$E$5:$E$1700,Allocations!$C$5:$C$1700,"Pellham Mutual Insurance Company",Allocations!$D$5:$D$1700,"Carried interest"),2)</f>
        <v>-5666173.2400000002</v>
      </c>
      <c r="F17" s="25">
        <f>ROUND(SUMIFS(Allocations!$E$5:$E$1700,Allocations!$C$5:$C$1700,"Lanternwood Partners, L.P. (fund-of-funds)",Allocations!$D$5:$D$1700,"Carried interest"),2)</f>
        <v>-4047266.6</v>
      </c>
      <c r="G17" s="25">
        <f>ROUND(SUMIFS(Allocations!$E$5:$E$1700,Allocations!$C$5:$C$1700,"Ellinwood Family Holdings, LLC",Allocations!$D$5:$D$1700,"Carried interest"),2)</f>
        <v>-4875543.34</v>
      </c>
      <c r="H17" s="25">
        <f>ROUND(SUMIFS(Allocations!$E$5:$E$1700,Allocations!$C$5:$C$1700,"Northmoor Trust Company",Allocations!$D$5:$D$1700,"Carried interest"),2)</f>
        <v>-6500724.4699999997</v>
      </c>
      <c r="I17" s="25">
        <f>ROUND(SUMIFS(Allocations!$E$5:$E$1700,Allocations!$C$5:$C$1700,"Stanmere Carry I, LLC",Allocations!$D$5:$D$1700,"Carried interest"),2)</f>
        <v>39813455.539999999</v>
      </c>
      <c r="J17" s="16">
        <f t="shared" si="1"/>
        <v>0</v>
      </c>
    </row>
    <row r="18" spans="1:10" x14ac:dyDescent="0.25">
      <c r="A18" s="8" t="s">
        <v>425</v>
      </c>
      <c r="B18" s="25">
        <f>ROUND(-SUMIFS(Allocations!$E$5:$E$1700,Allocations!$C$5:$C$1700,"Stanmere Capital GP I, LLC",Allocations!$D$5:$D$1700,"Distributions"),2)</f>
        <v>-7953315.8300000001</v>
      </c>
      <c r="C18" s="25">
        <f>ROUND(-SUMIFS(Allocations!$E$5:$E$1700,Allocations!$C$5:$C$1700,"Kelbrook State Retirement System",Allocations!$D$5:$D$1700,"Distributions"),2)</f>
        <v>-110420186.97</v>
      </c>
      <c r="D18" s="25">
        <f>ROUND(-SUMIFS(Allocations!$E$5:$E$1700,Allocations!$C$5:$C$1700,"Ashfield University Endowment",Allocations!$D$5:$D$1700,"Distributions"),2)</f>
        <v>-58890766.399999999</v>
      </c>
      <c r="E18" s="25">
        <f>ROUND(-SUMIFS(Allocations!$E$5:$E$1700,Allocations!$C$5:$C$1700,"Pellham Mutual Insurance Company",Allocations!$D$5:$D$1700,"Distributions"),2)</f>
        <v>-52530206.710000001</v>
      </c>
      <c r="F18" s="25">
        <f>ROUND(-SUMIFS(Allocations!$E$5:$E$1700,Allocations!$C$5:$C$1700,"Lanternwood Partners, L.P. (fund-of-funds)",Allocations!$D$5:$D$1700,"Distributions"),2)</f>
        <v>-37521576.25</v>
      </c>
      <c r="G18" s="25">
        <f>ROUND(-SUMIFS(Allocations!$E$5:$E$1700,Allocations!$C$5:$C$1700,"Ellinwood Family Holdings, LLC",Allocations!$D$5:$D$1700,"Distributions"),2)</f>
        <v>-45101901.390000001</v>
      </c>
      <c r="H18" s="25">
        <f>ROUND(-SUMIFS(Allocations!$E$5:$E$1700,Allocations!$C$5:$C$1700,"Northmoor Trust Company",Allocations!$D$5:$D$1700,"Distributions"),2)</f>
        <v>-60135868.609999999</v>
      </c>
      <c r="I18" s="25">
        <f>ROUND(-SUMIFS(Allocations!$E$5:$E$1700,Allocations!$C$5:$C$1700,"Stanmere Carry I, LLC",Allocations!$D$5:$D$1700,"Distributions"),2)</f>
        <v>-39813455.539999999</v>
      </c>
      <c r="J18" s="16">
        <f t="shared" si="1"/>
        <v>-412367277.69999999</v>
      </c>
    </row>
    <row r="19" spans="1:10" x14ac:dyDescent="0.25">
      <c r="A19" s="24" t="s">
        <v>437</v>
      </c>
      <c r="B19" s="16">
        <f t="shared" ref="B19:J19" si="2">B9+B10+B11+B12+B13+B14+B15+B16+B17+B18</f>
        <v>0</v>
      </c>
      <c r="C19" s="16">
        <f t="shared" si="2"/>
        <v>0</v>
      </c>
      <c r="D19" s="16">
        <f t="shared" si="2"/>
        <v>0</v>
      </c>
      <c r="E19" s="16">
        <f t="shared" si="2"/>
        <v>0</v>
      </c>
      <c r="F19" s="16">
        <f t="shared" si="2"/>
        <v>0</v>
      </c>
      <c r="G19" s="16">
        <f t="shared" si="2"/>
        <v>0</v>
      </c>
      <c r="H19" s="16">
        <f t="shared" si="2"/>
        <v>0</v>
      </c>
      <c r="I19" s="16">
        <f t="shared" si="2"/>
        <v>0</v>
      </c>
      <c r="J19" s="16">
        <f t="shared" si="2"/>
        <v>0</v>
      </c>
    </row>
    <row r="20" spans="1:10" x14ac:dyDescent="0.25">
      <c r="A20" s="8" t="s">
        <v>438</v>
      </c>
      <c r="B20" s="23">
        <f t="shared" ref="B20:H20" si="3">B6-B9</f>
        <v>733999.99000000022</v>
      </c>
      <c r="C20" s="23">
        <f t="shared" si="3"/>
        <v>11009999.990000002</v>
      </c>
      <c r="D20" s="23">
        <f t="shared" si="3"/>
        <v>5872000.0200000033</v>
      </c>
      <c r="E20" s="23">
        <f t="shared" si="3"/>
        <v>5138000</v>
      </c>
      <c r="F20" s="23">
        <f t="shared" si="3"/>
        <v>3670000</v>
      </c>
      <c r="G20" s="23">
        <f t="shared" si="3"/>
        <v>4404000</v>
      </c>
      <c r="H20" s="23">
        <f t="shared" si="3"/>
        <v>5872000</v>
      </c>
    </row>
    <row r="21" spans="1:10" ht="30" customHeight="1" x14ac:dyDescent="0.25">
      <c r="A21" s="30" t="s">
        <v>439</v>
      </c>
      <c r="B21" s="31">
        <f t="shared" ref="B21:I21" si="4">IF(B9&lt;=0,"n/a",(-B18+B19)/B9)</f>
        <v>1.8643496979269816</v>
      </c>
      <c r="C21" s="31">
        <f t="shared" si="4"/>
        <v>1.7255850437997211</v>
      </c>
      <c r="D21" s="31">
        <f t="shared" si="4"/>
        <v>1.7255850455494521</v>
      </c>
      <c r="E21" s="31">
        <f t="shared" si="4"/>
        <v>1.7590987445583015</v>
      </c>
      <c r="F21" s="31">
        <f t="shared" si="4"/>
        <v>1.7590987458977965</v>
      </c>
      <c r="G21" s="31">
        <f t="shared" si="4"/>
        <v>1.7620683462259727</v>
      </c>
      <c r="H21" s="31">
        <f t="shared" si="4"/>
        <v>1.7620683488631035</v>
      </c>
      <c r="I21" s="31" t="str">
        <f t="shared" si="4"/>
        <v>n/a</v>
      </c>
    </row>
    <row r="22" spans="1:10" x14ac:dyDescent="0.25">
      <c r="A22" t="s">
        <v>440</v>
      </c>
      <c r="B22" s="38">
        <v>-61211.360000000001</v>
      </c>
      <c r="C22" s="38">
        <v>-918170.43</v>
      </c>
      <c r="D22" s="38">
        <v>-489690.88</v>
      </c>
      <c r="E22" s="38">
        <v>132396.26</v>
      </c>
      <c r="F22" s="38">
        <v>94568.79</v>
      </c>
      <c r="G22" s="38">
        <v>532331.84</v>
      </c>
      <c r="H22" s="38">
        <v>709775.78</v>
      </c>
      <c r="J22" s="38">
        <f>ROUND(SUM(B22:H22),2)</f>
        <v>0</v>
      </c>
    </row>
    <row r="23" spans="1:10" x14ac:dyDescent="0.25">
      <c r="A23" t="s">
        <v>441</v>
      </c>
      <c r="B23" s="39">
        <f t="shared" ref="B23:H23" si="5">IF(B6&lt;=0,"n/a",(-B18+B19-B9-B22)/B6)</f>
        <v>0.74970543600000006</v>
      </c>
      <c r="C23" s="39">
        <f t="shared" si="5"/>
        <v>0.63131143186666672</v>
      </c>
      <c r="D23" s="39">
        <f t="shared" si="5"/>
        <v>0.63131143249999999</v>
      </c>
      <c r="E23" s="39">
        <f t="shared" si="5"/>
        <v>0.64388029857142859</v>
      </c>
      <c r="F23" s="39">
        <f t="shared" si="5"/>
        <v>0.64388029840000005</v>
      </c>
      <c r="G23" s="39">
        <f t="shared" si="5"/>
        <v>0.63245231833333337</v>
      </c>
      <c r="H23" s="39">
        <f t="shared" si="5"/>
        <v>0.63245232074999991</v>
      </c>
      <c r="J23" s="39">
        <f>MAX(C23:H23)-MIN(C23:H23)</f>
        <v>1.2568866704761872E-2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3"/>
  <sheetViews>
    <sheetView workbookViewId="0"/>
  </sheetViews>
  <sheetFormatPr defaultRowHeight="15" x14ac:dyDescent="0.25"/>
  <cols>
    <col min="1" max="1" width="46" customWidth="1"/>
    <col min="2" max="3" width="20" customWidth="1"/>
    <col min="4" max="4" width="16" customWidth="1"/>
    <col min="5" max="5" width="26" customWidth="1"/>
  </cols>
  <sheetData>
    <row r="1" spans="1:5" ht="18" customHeight="1" x14ac:dyDescent="0.25">
      <c r="A1" s="9" t="s">
        <v>442</v>
      </c>
    </row>
    <row r="2" spans="1:5" x14ac:dyDescent="0.25">
      <c r="A2" s="10" t="s">
        <v>443</v>
      </c>
    </row>
    <row r="4" spans="1:5" x14ac:dyDescent="0.25">
      <c r="A4" s="7" t="s">
        <v>444</v>
      </c>
      <c r="B4" s="32" t="s">
        <v>132</v>
      </c>
      <c r="D4" s="13" t="s">
        <v>445</v>
      </c>
      <c r="E4" s="13" t="s">
        <v>72</v>
      </c>
    </row>
    <row r="5" spans="1:5" x14ac:dyDescent="0.25">
      <c r="E5" s="13" t="s">
        <v>132</v>
      </c>
    </row>
    <row r="6" spans="1:5" x14ac:dyDescent="0.25">
      <c r="A6" s="8" t="s">
        <v>446</v>
      </c>
      <c r="B6" s="8" t="s">
        <v>447</v>
      </c>
      <c r="E6" s="13" t="s">
        <v>134</v>
      </c>
    </row>
    <row r="7" spans="1:5" x14ac:dyDescent="0.25">
      <c r="E7" s="13" t="s">
        <v>135</v>
      </c>
    </row>
    <row r="8" spans="1:5" x14ac:dyDescent="0.25">
      <c r="A8" s="5"/>
      <c r="B8" s="5" t="s">
        <v>448</v>
      </c>
      <c r="C8" s="5" t="s">
        <v>449</v>
      </c>
      <c r="D8" s="5" t="s">
        <v>129</v>
      </c>
      <c r="E8" s="13" t="s">
        <v>136</v>
      </c>
    </row>
    <row r="9" spans="1:5" x14ac:dyDescent="0.25">
      <c r="A9" s="8" t="s">
        <v>450</v>
      </c>
      <c r="B9" s="12">
        <v>0</v>
      </c>
      <c r="C9" s="12">
        <v>0</v>
      </c>
      <c r="E9" s="13" t="s">
        <v>137</v>
      </c>
    </row>
    <row r="10" spans="1:5" x14ac:dyDescent="0.25">
      <c r="A10" s="8" t="s">
        <v>334</v>
      </c>
      <c r="B10" s="25">
        <f>SUMIFS(Allocations!$E$5:$E$1700,Allocations!$C$5:$C$1700,$B$4,Allocations!$D$5:$D$1700,"Capital contributions")</f>
        <v>63990000.010000005</v>
      </c>
      <c r="C10" s="25">
        <f>'Investor Allocations'!J9</f>
        <v>213300000</v>
      </c>
      <c r="D10" s="15">
        <f t="shared" ref="D10:D20" si="0">IF(ABS(C10)&lt;1000,"n/a",B10/C10)</f>
        <v>0.30000000004688238</v>
      </c>
      <c r="E10" s="13" t="s">
        <v>139</v>
      </c>
    </row>
    <row r="11" spans="1:5" x14ac:dyDescent="0.25">
      <c r="A11" s="8" t="s">
        <v>420</v>
      </c>
      <c r="B11" s="25">
        <f>SUMIFS(Allocations!$E$5:$E$1700,Allocations!$C$5:$C$1700,$B$4,Allocations!$D$5:$D$1700,"Equalization")</f>
        <v>0</v>
      </c>
      <c r="C11" s="25">
        <f>'Investor Allocations'!J10</f>
        <v>0</v>
      </c>
      <c r="D11" s="15" t="str">
        <f t="shared" si="0"/>
        <v>n/a</v>
      </c>
      <c r="E11" s="13" t="s">
        <v>422</v>
      </c>
    </row>
    <row r="12" spans="1:5" x14ac:dyDescent="0.25">
      <c r="A12" s="8" t="s">
        <v>419</v>
      </c>
      <c r="B12" s="25">
        <f>SUMIFS(Allocations!$E$5:$E$1700,Allocations!$C$5:$C$1700,$B$4,Allocations!$D$5:$D$1700,"Offering costs charged to capital")</f>
        <v>-562500</v>
      </c>
      <c r="C12" s="25">
        <f>'Investor Allocations'!J11</f>
        <v>-900000</v>
      </c>
      <c r="D12" s="15">
        <f t="shared" si="0"/>
        <v>0.625</v>
      </c>
    </row>
    <row r="13" spans="1:5" x14ac:dyDescent="0.25">
      <c r="A13" s="8" t="s">
        <v>424</v>
      </c>
      <c r="B13" s="25">
        <f>SUMIFS(Allocations!$E$5:$E$1700,Allocations!$C$5:$C$1700,$B$4,Allocations!$D$5:$D$1700,"Investment income")</f>
        <v>4857683.3100000005</v>
      </c>
      <c r="C13" s="25">
        <f>'Investor Allocations'!J12</f>
        <v>16192277.699999999</v>
      </c>
      <c r="D13" s="15">
        <f t="shared" si="0"/>
        <v>0.30000000000000004</v>
      </c>
    </row>
    <row r="14" spans="1:5" x14ac:dyDescent="0.25">
      <c r="A14" s="8" t="s">
        <v>197</v>
      </c>
      <c r="B14" s="25">
        <f>SUMIFS(Allocations!$E$5:$E$1700,Allocations!$C$5:$C$1700,$B$4,Allocations!$D$5:$D$1700,"Management fee")</f>
        <v>-11078571.450000003</v>
      </c>
      <c r="C14" s="25">
        <f>'Investor Allocations'!J13</f>
        <v>-33540000</v>
      </c>
      <c r="D14" s="15">
        <f t="shared" si="0"/>
        <v>0.33030922629695897</v>
      </c>
    </row>
    <row r="15" spans="1:5" x14ac:dyDescent="0.25">
      <c r="A15" s="8" t="s">
        <v>216</v>
      </c>
      <c r="B15" s="25">
        <f>SUMIFS(Allocations!$E$5:$E$1700,Allocations!$C$5:$C$1700,$B$4,Allocations!$D$5:$D$1700,"Other fund expenses")</f>
        <v>-2790708.34</v>
      </c>
      <c r="C15" s="25">
        <f>'Investor Allocations'!J14</f>
        <v>-7485000</v>
      </c>
      <c r="D15" s="15">
        <f t="shared" si="0"/>
        <v>0.3728401255845023</v>
      </c>
    </row>
    <row r="16" spans="1:5" x14ac:dyDescent="0.25">
      <c r="A16" s="8" t="s">
        <v>426</v>
      </c>
      <c r="B16" s="25">
        <f>SUMIFS(Allocations!$E$5:$E$1700,Allocations!$C$5:$C$1700,$B$4,Allocations!$D$5:$D$1700,"Realized gain/(loss)")</f>
        <v>67440000</v>
      </c>
      <c r="C16" s="25">
        <f>'Investor Allocations'!J15</f>
        <v>224800000</v>
      </c>
      <c r="D16" s="15">
        <f t="shared" si="0"/>
        <v>0.3</v>
      </c>
    </row>
    <row r="17" spans="1:4" x14ac:dyDescent="0.25">
      <c r="A17" s="8" t="s">
        <v>421</v>
      </c>
      <c r="B17" s="25">
        <f>SUMIFS(Allocations!$E$5:$E$1700,Allocations!$C$5:$C$1700,$B$4,Allocations!$D$5:$D$1700,"Change in unrealized")</f>
        <v>175000</v>
      </c>
      <c r="C17" s="25">
        <f>'Investor Allocations'!J16</f>
        <v>0</v>
      </c>
      <c r="D17" s="15" t="str">
        <f t="shared" si="0"/>
        <v>n/a</v>
      </c>
    </row>
    <row r="18" spans="1:4" x14ac:dyDescent="0.25">
      <c r="A18" s="8" t="s">
        <v>117</v>
      </c>
      <c r="B18" s="25">
        <f>SUMIFS(Allocations!$E$5:$E$1700,Allocations!$C$5:$C$1700,$B$4,Allocations!$D$5:$D$1700,"Carried interest")</f>
        <v>-11610716.560000001</v>
      </c>
      <c r="C18" s="25">
        <f>'Investor Allocations'!J17</f>
        <v>0</v>
      </c>
      <c r="D18" s="15" t="str">
        <f t="shared" si="0"/>
        <v>n/a</v>
      </c>
    </row>
    <row r="19" spans="1:4" x14ac:dyDescent="0.25">
      <c r="A19" s="8" t="s">
        <v>425</v>
      </c>
      <c r="B19" s="25">
        <f>-SUMIFS(Allocations!$E$5:$E$1700,Allocations!$C$5:$C$1700,$B$4,Allocations!$D$5:$D$1700,"Distributions")</f>
        <v>-110420186.97</v>
      </c>
      <c r="C19" s="25">
        <f>'Investor Allocations'!J18</f>
        <v>-412367277.69999999</v>
      </c>
      <c r="D19" s="15">
        <f t="shared" si="0"/>
        <v>0.26777145748778697</v>
      </c>
    </row>
    <row r="20" spans="1:4" x14ac:dyDescent="0.25">
      <c r="A20" s="24" t="s">
        <v>451</v>
      </c>
      <c r="B20" s="16">
        <f>SUM(B10:B19)</f>
        <v>0</v>
      </c>
      <c r="C20" s="16">
        <f>SUM(C10:C19)</f>
        <v>0</v>
      </c>
      <c r="D20" s="17" t="str">
        <f t="shared" si="0"/>
        <v>n/a</v>
      </c>
    </row>
    <row r="22" spans="1:4" x14ac:dyDescent="0.25">
      <c r="A22" s="8" t="s">
        <v>128</v>
      </c>
      <c r="B22" s="25">
        <f>IFERROR(INDEX(Partners!$C$5:$C$11,MATCH($B$4,Partners!$A$5:$A$11,0)),0)</f>
        <v>75000000</v>
      </c>
    </row>
    <row r="23" spans="1:4" x14ac:dyDescent="0.25">
      <c r="A23" s="8" t="s">
        <v>438</v>
      </c>
      <c r="B23" s="23">
        <f>B22-B10</f>
        <v>11009999.989999995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1"/>
  <sheetViews>
    <sheetView workbookViewId="0"/>
  </sheetViews>
  <sheetFormatPr defaultRowHeight="15" x14ac:dyDescent="0.25"/>
  <cols>
    <col min="1" max="1" width="11" customWidth="1"/>
    <col min="2" max="2" width="20" customWidth="1"/>
    <col min="3" max="3" width="22" customWidth="1"/>
    <col min="4" max="4" width="14" customWidth="1"/>
    <col min="5" max="7" width="17" customWidth="1"/>
  </cols>
  <sheetData>
    <row r="1" spans="1:7" ht="18" customHeight="1" x14ac:dyDescent="0.25">
      <c r="A1" s="9" t="s">
        <v>452</v>
      </c>
    </row>
    <row r="2" spans="1:7" x14ac:dyDescent="0.25">
      <c r="A2" s="10" t="s">
        <v>453</v>
      </c>
    </row>
    <row r="4" spans="1:7" x14ac:dyDescent="0.25">
      <c r="A4" s="5" t="s">
        <v>225</v>
      </c>
      <c r="B4" s="5" t="s">
        <v>454</v>
      </c>
      <c r="C4" s="5" t="s">
        <v>455</v>
      </c>
      <c r="D4" s="5" t="s">
        <v>456</v>
      </c>
      <c r="E4" s="5" t="s">
        <v>457</v>
      </c>
      <c r="F4" s="5" t="s">
        <v>458</v>
      </c>
      <c r="G4" s="5" t="s">
        <v>459</v>
      </c>
    </row>
    <row r="5" spans="1:7" x14ac:dyDescent="0.25">
      <c r="A5" s="8" t="s">
        <v>230</v>
      </c>
      <c r="B5" s="8" t="s">
        <v>460</v>
      </c>
      <c r="C5" s="12">
        <v>115000000</v>
      </c>
      <c r="D5" s="28">
        <f>'Fund Terms'!$B$12</f>
        <v>0.02</v>
      </c>
      <c r="E5" s="22">
        <f t="shared" ref="E5:E50" si="0">C5*D5/4</f>
        <v>575000</v>
      </c>
      <c r="F5" s="19">
        <v>0</v>
      </c>
      <c r="G5" s="22">
        <f t="shared" ref="G5:G50" si="1">E5-F5</f>
        <v>575000</v>
      </c>
    </row>
    <row r="6" spans="1:7" x14ac:dyDescent="0.25">
      <c r="A6" s="8" t="s">
        <v>235</v>
      </c>
      <c r="B6" s="8" t="s">
        <v>460</v>
      </c>
      <c r="C6" s="12">
        <v>115000000</v>
      </c>
      <c r="D6" s="28">
        <f>'Fund Terms'!$B$12</f>
        <v>0.02</v>
      </c>
      <c r="E6" s="22">
        <f t="shared" si="0"/>
        <v>575000</v>
      </c>
      <c r="F6" s="19">
        <v>0</v>
      </c>
      <c r="G6" s="22">
        <f t="shared" si="1"/>
        <v>575000</v>
      </c>
    </row>
    <row r="7" spans="1:7" x14ac:dyDescent="0.25">
      <c r="A7" s="8" t="s">
        <v>237</v>
      </c>
      <c r="B7" s="8" t="s">
        <v>460</v>
      </c>
      <c r="C7" s="12">
        <v>115000000</v>
      </c>
      <c r="D7" s="28">
        <f>'Fund Terms'!$B$12</f>
        <v>0.02</v>
      </c>
      <c r="E7" s="22">
        <f t="shared" si="0"/>
        <v>575000</v>
      </c>
      <c r="F7" s="19">
        <v>0</v>
      </c>
      <c r="G7" s="22">
        <f t="shared" si="1"/>
        <v>575000</v>
      </c>
    </row>
    <row r="8" spans="1:7" x14ac:dyDescent="0.25">
      <c r="A8" s="8" t="s">
        <v>238</v>
      </c>
      <c r="B8" s="8" t="s">
        <v>460</v>
      </c>
      <c r="C8" s="12">
        <v>175000000</v>
      </c>
      <c r="D8" s="28">
        <f>'Fund Terms'!$B$12</f>
        <v>0.02</v>
      </c>
      <c r="E8" s="22">
        <f t="shared" si="0"/>
        <v>875000</v>
      </c>
      <c r="F8" s="19">
        <v>0</v>
      </c>
      <c r="G8" s="22">
        <f t="shared" si="1"/>
        <v>875000</v>
      </c>
    </row>
    <row r="9" spans="1:7" x14ac:dyDescent="0.25">
      <c r="A9" s="8" t="s">
        <v>241</v>
      </c>
      <c r="B9" s="8" t="s">
        <v>460</v>
      </c>
      <c r="C9" s="12">
        <v>175000000</v>
      </c>
      <c r="D9" s="28">
        <f>'Fund Terms'!$B$12</f>
        <v>0.02</v>
      </c>
      <c r="E9" s="22">
        <f t="shared" si="0"/>
        <v>875000</v>
      </c>
      <c r="F9" s="19">
        <v>0</v>
      </c>
      <c r="G9" s="22">
        <f t="shared" si="1"/>
        <v>875000</v>
      </c>
    </row>
    <row r="10" spans="1:7" x14ac:dyDescent="0.25">
      <c r="A10" s="8" t="s">
        <v>242</v>
      </c>
      <c r="B10" s="8" t="s">
        <v>460</v>
      </c>
      <c r="C10" s="12">
        <v>245000000</v>
      </c>
      <c r="D10" s="28">
        <f>'Fund Terms'!$B$12</f>
        <v>0.02</v>
      </c>
      <c r="E10" s="22">
        <f t="shared" si="0"/>
        <v>1225000</v>
      </c>
      <c r="F10" s="19">
        <v>0</v>
      </c>
      <c r="G10" s="22">
        <f t="shared" si="1"/>
        <v>1225000</v>
      </c>
    </row>
    <row r="11" spans="1:7" x14ac:dyDescent="0.25">
      <c r="A11" s="8" t="s">
        <v>243</v>
      </c>
      <c r="B11" s="8" t="s">
        <v>460</v>
      </c>
      <c r="C11" s="12">
        <v>245000000</v>
      </c>
      <c r="D11" s="28">
        <f>'Fund Terms'!$B$12</f>
        <v>0.02</v>
      </c>
      <c r="E11" s="22">
        <f t="shared" si="0"/>
        <v>1225000</v>
      </c>
      <c r="F11" s="19">
        <v>0</v>
      </c>
      <c r="G11" s="22">
        <f t="shared" si="1"/>
        <v>1225000</v>
      </c>
    </row>
    <row r="12" spans="1:7" x14ac:dyDescent="0.25">
      <c r="A12" s="8" t="s">
        <v>244</v>
      </c>
      <c r="B12" s="8" t="s">
        <v>460</v>
      </c>
      <c r="C12" s="12">
        <v>245000000</v>
      </c>
      <c r="D12" s="28">
        <f>'Fund Terms'!$B$12</f>
        <v>0.02</v>
      </c>
      <c r="E12" s="22">
        <f t="shared" si="0"/>
        <v>1225000</v>
      </c>
      <c r="F12" s="19">
        <v>0</v>
      </c>
      <c r="G12" s="22">
        <f t="shared" si="1"/>
        <v>1225000</v>
      </c>
    </row>
    <row r="13" spans="1:7" x14ac:dyDescent="0.25">
      <c r="A13" s="8" t="s">
        <v>245</v>
      </c>
      <c r="B13" s="8" t="s">
        <v>460</v>
      </c>
      <c r="C13" s="12">
        <v>245000000</v>
      </c>
      <c r="D13" s="28">
        <f>'Fund Terms'!$B$12</f>
        <v>0.02</v>
      </c>
      <c r="E13" s="22">
        <f t="shared" si="0"/>
        <v>1225000</v>
      </c>
      <c r="F13" s="19">
        <v>0</v>
      </c>
      <c r="G13" s="22">
        <f t="shared" si="1"/>
        <v>1225000</v>
      </c>
    </row>
    <row r="14" spans="1:7" x14ac:dyDescent="0.25">
      <c r="A14" s="8" t="s">
        <v>247</v>
      </c>
      <c r="B14" s="8" t="s">
        <v>460</v>
      </c>
      <c r="C14" s="12">
        <v>245000000</v>
      </c>
      <c r="D14" s="28">
        <f>'Fund Terms'!$B$12</f>
        <v>0.02</v>
      </c>
      <c r="E14" s="22">
        <f t="shared" si="0"/>
        <v>1225000</v>
      </c>
      <c r="F14" s="19">
        <v>0</v>
      </c>
      <c r="G14" s="22">
        <f t="shared" si="1"/>
        <v>1225000</v>
      </c>
    </row>
    <row r="15" spans="1:7" x14ac:dyDescent="0.25">
      <c r="A15" s="8" t="s">
        <v>248</v>
      </c>
      <c r="B15" s="8" t="s">
        <v>460</v>
      </c>
      <c r="C15" s="12">
        <v>245000000</v>
      </c>
      <c r="D15" s="28">
        <f>'Fund Terms'!$B$12</f>
        <v>0.02</v>
      </c>
      <c r="E15" s="22">
        <f t="shared" si="0"/>
        <v>1225000</v>
      </c>
      <c r="F15" s="19">
        <v>0</v>
      </c>
      <c r="G15" s="22">
        <f t="shared" si="1"/>
        <v>1225000</v>
      </c>
    </row>
    <row r="16" spans="1:7" x14ac:dyDescent="0.25">
      <c r="A16" s="8" t="s">
        <v>249</v>
      </c>
      <c r="B16" s="8" t="s">
        <v>460</v>
      </c>
      <c r="C16" s="12">
        <v>245000000</v>
      </c>
      <c r="D16" s="28">
        <f>'Fund Terms'!$B$12</f>
        <v>0.02</v>
      </c>
      <c r="E16" s="22">
        <f t="shared" si="0"/>
        <v>1225000</v>
      </c>
      <c r="F16" s="19">
        <v>350000</v>
      </c>
      <c r="G16" s="22">
        <f t="shared" si="1"/>
        <v>875000</v>
      </c>
    </row>
    <row r="17" spans="1:7" x14ac:dyDescent="0.25">
      <c r="A17" s="8" t="s">
        <v>250</v>
      </c>
      <c r="B17" s="8" t="s">
        <v>460</v>
      </c>
      <c r="C17" s="12">
        <v>245000000</v>
      </c>
      <c r="D17" s="28">
        <f>'Fund Terms'!$B$12</f>
        <v>0.02</v>
      </c>
      <c r="E17" s="22">
        <f t="shared" si="0"/>
        <v>1225000</v>
      </c>
      <c r="F17" s="19">
        <v>0</v>
      </c>
      <c r="G17" s="22">
        <f t="shared" si="1"/>
        <v>1225000</v>
      </c>
    </row>
    <row r="18" spans="1:7" x14ac:dyDescent="0.25">
      <c r="A18" s="8" t="s">
        <v>251</v>
      </c>
      <c r="B18" s="8" t="s">
        <v>460</v>
      </c>
      <c r="C18" s="12">
        <v>245000000</v>
      </c>
      <c r="D18" s="28">
        <f>'Fund Terms'!$B$12</f>
        <v>0.02</v>
      </c>
      <c r="E18" s="22">
        <f t="shared" si="0"/>
        <v>1225000</v>
      </c>
      <c r="F18" s="19">
        <v>0</v>
      </c>
      <c r="G18" s="22">
        <f t="shared" si="1"/>
        <v>1225000</v>
      </c>
    </row>
    <row r="19" spans="1:7" x14ac:dyDescent="0.25">
      <c r="A19" s="8" t="s">
        <v>253</v>
      </c>
      <c r="B19" s="8" t="s">
        <v>460</v>
      </c>
      <c r="C19" s="12">
        <v>245000000</v>
      </c>
      <c r="D19" s="28">
        <f>'Fund Terms'!$B$12</f>
        <v>0.02</v>
      </c>
      <c r="E19" s="22">
        <f t="shared" si="0"/>
        <v>1225000</v>
      </c>
      <c r="F19" s="19">
        <v>0</v>
      </c>
      <c r="G19" s="22">
        <f t="shared" si="1"/>
        <v>1225000</v>
      </c>
    </row>
    <row r="20" spans="1:7" x14ac:dyDescent="0.25">
      <c r="A20" s="8" t="s">
        <v>254</v>
      </c>
      <c r="B20" s="8" t="s">
        <v>460</v>
      </c>
      <c r="C20" s="12">
        <v>245000000</v>
      </c>
      <c r="D20" s="28">
        <f>'Fund Terms'!$B$12</f>
        <v>0.02</v>
      </c>
      <c r="E20" s="22">
        <f t="shared" si="0"/>
        <v>1225000</v>
      </c>
      <c r="F20" s="19">
        <v>400000</v>
      </c>
      <c r="G20" s="22">
        <f t="shared" si="1"/>
        <v>825000</v>
      </c>
    </row>
    <row r="21" spans="1:7" x14ac:dyDescent="0.25">
      <c r="A21" s="8" t="s">
        <v>255</v>
      </c>
      <c r="B21" s="8" t="s">
        <v>460</v>
      </c>
      <c r="C21" s="12">
        <v>245000000</v>
      </c>
      <c r="D21" s="28">
        <f>'Fund Terms'!$B$12</f>
        <v>0.02</v>
      </c>
      <c r="E21" s="22">
        <f t="shared" si="0"/>
        <v>1225000</v>
      </c>
      <c r="F21" s="19">
        <v>0</v>
      </c>
      <c r="G21" s="22">
        <f t="shared" si="1"/>
        <v>1225000</v>
      </c>
    </row>
    <row r="22" spans="1:7" x14ac:dyDescent="0.25">
      <c r="A22" s="8" t="s">
        <v>256</v>
      </c>
      <c r="B22" s="8" t="s">
        <v>460</v>
      </c>
      <c r="C22" s="12">
        <v>245000000</v>
      </c>
      <c r="D22" s="28">
        <f>'Fund Terms'!$B$12</f>
        <v>0.02</v>
      </c>
      <c r="E22" s="22">
        <f t="shared" si="0"/>
        <v>1225000</v>
      </c>
      <c r="F22" s="19">
        <v>0</v>
      </c>
      <c r="G22" s="22">
        <f t="shared" si="1"/>
        <v>1225000</v>
      </c>
    </row>
    <row r="23" spans="1:7" x14ac:dyDescent="0.25">
      <c r="A23" s="8" t="s">
        <v>257</v>
      </c>
      <c r="B23" s="8" t="s">
        <v>460</v>
      </c>
      <c r="C23" s="12">
        <v>245000000</v>
      </c>
      <c r="D23" s="28">
        <f>'Fund Terms'!$B$12</f>
        <v>0.02</v>
      </c>
      <c r="E23" s="22">
        <f t="shared" si="0"/>
        <v>1225000</v>
      </c>
      <c r="F23" s="19">
        <v>0</v>
      </c>
      <c r="G23" s="22">
        <f t="shared" si="1"/>
        <v>1225000</v>
      </c>
    </row>
    <row r="24" spans="1:7" x14ac:dyDescent="0.25">
      <c r="A24" s="8" t="s">
        <v>258</v>
      </c>
      <c r="B24" s="8" t="s">
        <v>460</v>
      </c>
      <c r="C24" s="12">
        <v>245000000</v>
      </c>
      <c r="D24" s="28">
        <f>'Fund Terms'!$B$12</f>
        <v>0.02</v>
      </c>
      <c r="E24" s="22">
        <f t="shared" si="0"/>
        <v>1225000</v>
      </c>
      <c r="F24" s="19">
        <v>400000</v>
      </c>
      <c r="G24" s="22">
        <f t="shared" si="1"/>
        <v>825000</v>
      </c>
    </row>
    <row r="25" spans="1:7" x14ac:dyDescent="0.25">
      <c r="A25" s="8" t="s">
        <v>259</v>
      </c>
      <c r="B25" s="8" t="s">
        <v>460</v>
      </c>
      <c r="C25" s="12">
        <v>245000000</v>
      </c>
      <c r="D25" s="28">
        <f>'Fund Terms'!$B$12</f>
        <v>0.02</v>
      </c>
      <c r="E25" s="22">
        <f t="shared" si="0"/>
        <v>1225000</v>
      </c>
      <c r="F25" s="19">
        <v>0</v>
      </c>
      <c r="G25" s="22">
        <f t="shared" si="1"/>
        <v>1225000</v>
      </c>
    </row>
    <row r="26" spans="1:7" x14ac:dyDescent="0.25">
      <c r="A26" s="8" t="s">
        <v>260</v>
      </c>
      <c r="B26" s="8" t="s">
        <v>460</v>
      </c>
      <c r="C26" s="12">
        <v>245000000</v>
      </c>
      <c r="D26" s="28">
        <f>'Fund Terms'!$B$12</f>
        <v>0.02</v>
      </c>
      <c r="E26" s="22">
        <f t="shared" si="0"/>
        <v>1225000</v>
      </c>
      <c r="F26" s="19">
        <v>250000</v>
      </c>
      <c r="G26" s="22">
        <f t="shared" si="1"/>
        <v>975000</v>
      </c>
    </row>
    <row r="27" spans="1:7" x14ac:dyDescent="0.25">
      <c r="A27" s="8" t="s">
        <v>261</v>
      </c>
      <c r="B27" s="8" t="s">
        <v>460</v>
      </c>
      <c r="C27" s="12">
        <v>245000000</v>
      </c>
      <c r="D27" s="28">
        <f>'Fund Terms'!$B$12</f>
        <v>0.02</v>
      </c>
      <c r="E27" s="22">
        <f t="shared" si="0"/>
        <v>1225000</v>
      </c>
      <c r="F27" s="19">
        <v>0</v>
      </c>
      <c r="G27" s="22">
        <f t="shared" si="1"/>
        <v>1225000</v>
      </c>
    </row>
    <row r="28" spans="1:7" x14ac:dyDescent="0.25">
      <c r="A28" s="8" t="s">
        <v>264</v>
      </c>
      <c r="B28" s="8" t="s">
        <v>460</v>
      </c>
      <c r="C28" s="12">
        <v>245000000</v>
      </c>
      <c r="D28" s="28">
        <f>'Fund Terms'!$B$12</f>
        <v>0.02</v>
      </c>
      <c r="E28" s="22">
        <f t="shared" si="0"/>
        <v>1225000</v>
      </c>
      <c r="F28" s="19">
        <v>0</v>
      </c>
      <c r="G28" s="22">
        <f t="shared" si="1"/>
        <v>1225000</v>
      </c>
    </row>
    <row r="29" spans="1:7" x14ac:dyDescent="0.25">
      <c r="A29" s="8" t="s">
        <v>265</v>
      </c>
      <c r="B29" s="8" t="s">
        <v>460</v>
      </c>
      <c r="C29" s="12">
        <v>245000000</v>
      </c>
      <c r="D29" s="28">
        <f>'Fund Terms'!$B$12</f>
        <v>0.02</v>
      </c>
      <c r="E29" s="22">
        <f t="shared" si="0"/>
        <v>1225000</v>
      </c>
      <c r="F29" s="19">
        <v>0</v>
      </c>
      <c r="G29" s="22">
        <f t="shared" si="1"/>
        <v>1225000</v>
      </c>
    </row>
    <row r="30" spans="1:7" x14ac:dyDescent="0.25">
      <c r="A30" s="8" t="s">
        <v>266</v>
      </c>
      <c r="B30" s="8" t="s">
        <v>460</v>
      </c>
      <c r="C30" s="12">
        <v>245000000</v>
      </c>
      <c r="D30" s="28">
        <f>'Fund Terms'!$B$12</f>
        <v>0.02</v>
      </c>
      <c r="E30" s="22">
        <f t="shared" si="0"/>
        <v>1225000</v>
      </c>
      <c r="F30" s="19">
        <v>0</v>
      </c>
      <c r="G30" s="22">
        <f t="shared" si="1"/>
        <v>1225000</v>
      </c>
    </row>
    <row r="31" spans="1:7" x14ac:dyDescent="0.25">
      <c r="A31" s="8" t="s">
        <v>267</v>
      </c>
      <c r="B31" s="8" t="s">
        <v>461</v>
      </c>
      <c r="C31" s="12">
        <v>106000000</v>
      </c>
      <c r="D31" s="28">
        <f>'Fund Terms'!$B$12</f>
        <v>0.02</v>
      </c>
      <c r="E31" s="22">
        <f t="shared" si="0"/>
        <v>530000</v>
      </c>
      <c r="F31" s="19">
        <v>0</v>
      </c>
      <c r="G31" s="22">
        <f t="shared" si="1"/>
        <v>530000</v>
      </c>
    </row>
    <row r="32" spans="1:7" x14ac:dyDescent="0.25">
      <c r="A32" s="8" t="s">
        <v>268</v>
      </c>
      <c r="B32" s="8" t="s">
        <v>461</v>
      </c>
      <c r="C32" s="12">
        <v>106000000</v>
      </c>
      <c r="D32" s="28">
        <f>'Fund Terms'!$B$12</f>
        <v>0.02</v>
      </c>
      <c r="E32" s="22">
        <f t="shared" si="0"/>
        <v>530000</v>
      </c>
      <c r="F32" s="19">
        <v>0</v>
      </c>
      <c r="G32" s="22">
        <f t="shared" si="1"/>
        <v>530000</v>
      </c>
    </row>
    <row r="33" spans="1:7" x14ac:dyDescent="0.25">
      <c r="A33" s="8" t="s">
        <v>269</v>
      </c>
      <c r="B33" s="8" t="s">
        <v>461</v>
      </c>
      <c r="C33" s="12">
        <v>106000000</v>
      </c>
      <c r="D33" s="28">
        <f>'Fund Terms'!$B$12</f>
        <v>0.02</v>
      </c>
      <c r="E33" s="22">
        <f t="shared" si="0"/>
        <v>530000</v>
      </c>
      <c r="F33" s="19">
        <v>0</v>
      </c>
      <c r="G33" s="22">
        <f t="shared" si="1"/>
        <v>530000</v>
      </c>
    </row>
    <row r="34" spans="1:7" x14ac:dyDescent="0.25">
      <c r="A34" s="8" t="s">
        <v>270</v>
      </c>
      <c r="B34" s="8" t="s">
        <v>461</v>
      </c>
      <c r="C34" s="12">
        <v>106000000</v>
      </c>
      <c r="D34" s="28">
        <f>'Fund Terms'!$B$12</f>
        <v>0.02</v>
      </c>
      <c r="E34" s="22">
        <f t="shared" si="0"/>
        <v>530000</v>
      </c>
      <c r="F34" s="19">
        <v>0</v>
      </c>
      <c r="G34" s="22">
        <f t="shared" si="1"/>
        <v>530000</v>
      </c>
    </row>
    <row r="35" spans="1:7" x14ac:dyDescent="0.25">
      <c r="A35" s="8" t="s">
        <v>271</v>
      </c>
      <c r="B35" s="8" t="s">
        <v>461</v>
      </c>
      <c r="C35" s="12">
        <v>106000000</v>
      </c>
      <c r="D35" s="28">
        <f>'Fund Terms'!$B$12</f>
        <v>0.02</v>
      </c>
      <c r="E35" s="22">
        <f t="shared" si="0"/>
        <v>530000</v>
      </c>
      <c r="F35" s="19">
        <v>0</v>
      </c>
      <c r="G35" s="22">
        <f t="shared" si="1"/>
        <v>530000</v>
      </c>
    </row>
    <row r="36" spans="1:7" x14ac:dyDescent="0.25">
      <c r="A36" s="8" t="s">
        <v>272</v>
      </c>
      <c r="B36" s="8" t="s">
        <v>461</v>
      </c>
      <c r="C36" s="12">
        <v>106000000</v>
      </c>
      <c r="D36" s="28">
        <f>'Fund Terms'!$B$12</f>
        <v>0.02</v>
      </c>
      <c r="E36" s="22">
        <f t="shared" si="0"/>
        <v>530000</v>
      </c>
      <c r="F36" s="19">
        <v>0</v>
      </c>
      <c r="G36" s="22">
        <f t="shared" si="1"/>
        <v>530000</v>
      </c>
    </row>
    <row r="37" spans="1:7" x14ac:dyDescent="0.25">
      <c r="A37" s="8" t="s">
        <v>273</v>
      </c>
      <c r="B37" s="8" t="s">
        <v>461</v>
      </c>
      <c r="C37" s="12">
        <v>106000000</v>
      </c>
      <c r="D37" s="28">
        <f>'Fund Terms'!$B$12</f>
        <v>0.02</v>
      </c>
      <c r="E37" s="22">
        <f t="shared" si="0"/>
        <v>530000</v>
      </c>
      <c r="F37" s="19">
        <v>0</v>
      </c>
      <c r="G37" s="22">
        <f t="shared" si="1"/>
        <v>530000</v>
      </c>
    </row>
    <row r="38" spans="1:7" x14ac:dyDescent="0.25">
      <c r="A38" s="8" t="s">
        <v>274</v>
      </c>
      <c r="B38" s="8" t="s">
        <v>461</v>
      </c>
      <c r="C38" s="12">
        <v>71000000</v>
      </c>
      <c r="D38" s="28">
        <f>'Fund Terms'!$B$12</f>
        <v>0.02</v>
      </c>
      <c r="E38" s="22">
        <f t="shared" si="0"/>
        <v>355000</v>
      </c>
      <c r="F38" s="19">
        <v>0</v>
      </c>
      <c r="G38" s="22">
        <f t="shared" si="1"/>
        <v>355000</v>
      </c>
    </row>
    <row r="39" spans="1:7" x14ac:dyDescent="0.25">
      <c r="A39" s="8" t="s">
        <v>275</v>
      </c>
      <c r="B39" s="8" t="s">
        <v>461</v>
      </c>
      <c r="C39" s="12">
        <v>71000000</v>
      </c>
      <c r="D39" s="28">
        <f>'Fund Terms'!$B$12</f>
        <v>0.02</v>
      </c>
      <c r="E39" s="22">
        <f t="shared" si="0"/>
        <v>355000</v>
      </c>
      <c r="F39" s="19">
        <v>0</v>
      </c>
      <c r="G39" s="22">
        <f t="shared" si="1"/>
        <v>355000</v>
      </c>
    </row>
    <row r="40" spans="1:7" x14ac:dyDescent="0.25">
      <c r="A40" s="8" t="s">
        <v>276</v>
      </c>
      <c r="B40" s="8" t="s">
        <v>461</v>
      </c>
      <c r="C40" s="12">
        <v>71000000</v>
      </c>
      <c r="D40" s="28">
        <f>'Fund Terms'!$B$12</f>
        <v>0.02</v>
      </c>
      <c r="E40" s="22">
        <f t="shared" si="0"/>
        <v>355000</v>
      </c>
      <c r="F40" s="19">
        <v>0</v>
      </c>
      <c r="G40" s="22">
        <f t="shared" si="1"/>
        <v>355000</v>
      </c>
    </row>
    <row r="41" spans="1:7" x14ac:dyDescent="0.25">
      <c r="A41" s="8" t="s">
        <v>277</v>
      </c>
      <c r="B41" s="8" t="s">
        <v>461</v>
      </c>
      <c r="C41" s="12">
        <v>71000000</v>
      </c>
      <c r="D41" s="28">
        <f>'Fund Terms'!$B$12</f>
        <v>0.02</v>
      </c>
      <c r="E41" s="22">
        <f t="shared" si="0"/>
        <v>355000</v>
      </c>
      <c r="F41" s="19">
        <v>0</v>
      </c>
      <c r="G41" s="22">
        <f t="shared" si="1"/>
        <v>355000</v>
      </c>
    </row>
    <row r="42" spans="1:7" x14ac:dyDescent="0.25">
      <c r="A42" s="8" t="s">
        <v>278</v>
      </c>
      <c r="B42" s="8" t="s">
        <v>461</v>
      </c>
      <c r="C42" s="12">
        <v>43000000</v>
      </c>
      <c r="D42" s="28">
        <f>'Fund Terms'!$B$12</f>
        <v>0.02</v>
      </c>
      <c r="E42" s="22">
        <f t="shared" si="0"/>
        <v>215000</v>
      </c>
      <c r="F42" s="19">
        <v>0</v>
      </c>
      <c r="G42" s="22">
        <f t="shared" si="1"/>
        <v>215000</v>
      </c>
    </row>
    <row r="43" spans="1:7" x14ac:dyDescent="0.25">
      <c r="A43" s="8" t="s">
        <v>279</v>
      </c>
      <c r="B43" s="8" t="s">
        <v>461</v>
      </c>
      <c r="C43" s="12">
        <v>43000000</v>
      </c>
      <c r="D43" s="28">
        <f>'Fund Terms'!$B$12</f>
        <v>0.02</v>
      </c>
      <c r="E43" s="22">
        <f t="shared" si="0"/>
        <v>215000</v>
      </c>
      <c r="F43" s="19">
        <v>0</v>
      </c>
      <c r="G43" s="22">
        <f t="shared" si="1"/>
        <v>215000</v>
      </c>
    </row>
    <row r="44" spans="1:7" x14ac:dyDescent="0.25">
      <c r="A44" s="8" t="s">
        <v>280</v>
      </c>
      <c r="B44" s="8" t="s">
        <v>461</v>
      </c>
      <c r="C44" s="12">
        <v>18000000</v>
      </c>
      <c r="D44" s="28">
        <f>'Fund Terms'!$B$12</f>
        <v>0.02</v>
      </c>
      <c r="E44" s="22">
        <f t="shared" si="0"/>
        <v>90000</v>
      </c>
      <c r="F44" s="19">
        <v>0</v>
      </c>
      <c r="G44" s="22">
        <f t="shared" si="1"/>
        <v>90000</v>
      </c>
    </row>
    <row r="45" spans="1:7" x14ac:dyDescent="0.25">
      <c r="A45" s="8" t="s">
        <v>281</v>
      </c>
      <c r="B45" s="8" t="s">
        <v>461</v>
      </c>
      <c r="C45" s="12">
        <v>18000000</v>
      </c>
      <c r="D45" s="28">
        <f>'Fund Terms'!$B$12</f>
        <v>0.02</v>
      </c>
      <c r="E45" s="22">
        <f t="shared" si="0"/>
        <v>90000</v>
      </c>
      <c r="F45" s="19">
        <v>0</v>
      </c>
      <c r="G45" s="22">
        <f t="shared" si="1"/>
        <v>90000</v>
      </c>
    </row>
    <row r="46" spans="1:7" x14ac:dyDescent="0.25">
      <c r="A46" s="8" t="s">
        <v>282</v>
      </c>
      <c r="B46" s="8" t="s">
        <v>461</v>
      </c>
      <c r="C46" s="12">
        <v>0</v>
      </c>
      <c r="D46" s="28">
        <f>'Fund Terms'!$B$12</f>
        <v>0.02</v>
      </c>
      <c r="E46" s="22">
        <f t="shared" si="0"/>
        <v>0</v>
      </c>
      <c r="F46" s="19">
        <v>0</v>
      </c>
      <c r="G46" s="22">
        <f t="shared" si="1"/>
        <v>0</v>
      </c>
    </row>
    <row r="47" spans="1:7" x14ac:dyDescent="0.25">
      <c r="A47" s="8" t="s">
        <v>283</v>
      </c>
      <c r="B47" s="8" t="s">
        <v>461</v>
      </c>
      <c r="C47" s="12">
        <v>0</v>
      </c>
      <c r="D47" s="28">
        <f>'Fund Terms'!$B$12</f>
        <v>0.02</v>
      </c>
      <c r="E47" s="22">
        <f t="shared" si="0"/>
        <v>0</v>
      </c>
      <c r="F47" s="19">
        <v>0</v>
      </c>
      <c r="G47" s="22">
        <f t="shared" si="1"/>
        <v>0</v>
      </c>
    </row>
    <row r="48" spans="1:7" x14ac:dyDescent="0.25">
      <c r="A48" s="8" t="s">
        <v>284</v>
      </c>
      <c r="B48" s="8" t="s">
        <v>461</v>
      </c>
      <c r="C48" s="12">
        <v>0</v>
      </c>
      <c r="D48" s="28">
        <f>'Fund Terms'!$B$12</f>
        <v>0.02</v>
      </c>
      <c r="E48" s="22">
        <f t="shared" si="0"/>
        <v>0</v>
      </c>
      <c r="F48" s="19">
        <v>0</v>
      </c>
      <c r="G48" s="22">
        <f t="shared" si="1"/>
        <v>0</v>
      </c>
    </row>
    <row r="49" spans="1:7" x14ac:dyDescent="0.25">
      <c r="A49" s="8" t="s">
        <v>285</v>
      </c>
      <c r="B49" s="8" t="s">
        <v>461</v>
      </c>
      <c r="C49" s="12">
        <v>0</v>
      </c>
      <c r="D49" s="28">
        <f>'Fund Terms'!$B$12</f>
        <v>0.02</v>
      </c>
      <c r="E49" s="22">
        <f t="shared" si="0"/>
        <v>0</v>
      </c>
      <c r="F49" s="19">
        <v>0</v>
      </c>
      <c r="G49" s="22">
        <f t="shared" si="1"/>
        <v>0</v>
      </c>
    </row>
    <row r="50" spans="1:7" x14ac:dyDescent="0.25">
      <c r="A50" s="8" t="s">
        <v>286</v>
      </c>
      <c r="B50" s="8" t="s">
        <v>461</v>
      </c>
      <c r="C50" s="12">
        <v>0</v>
      </c>
      <c r="D50" s="28">
        <f>'Fund Terms'!$B$12</f>
        <v>0.02</v>
      </c>
      <c r="E50" s="22">
        <f t="shared" si="0"/>
        <v>0</v>
      </c>
      <c r="F50" s="19">
        <v>0</v>
      </c>
      <c r="G50" s="22">
        <f t="shared" si="1"/>
        <v>0</v>
      </c>
    </row>
    <row r="51" spans="1:7" x14ac:dyDescent="0.25">
      <c r="B51" s="7" t="s">
        <v>140</v>
      </c>
      <c r="E51" s="16">
        <f>SUM(E5:E50)</f>
        <v>34940000</v>
      </c>
      <c r="F51" s="16">
        <f>SUM(F5:F50)</f>
        <v>1400000</v>
      </c>
      <c r="G51" s="16">
        <f>SUM(G5:G50)</f>
        <v>33540000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61"/>
  <sheetViews>
    <sheetView workbookViewId="0">
      <pane xSplit="1" ySplit="4" topLeftCell="B5" activePane="bottomRight" state="frozen"/>
      <selection pane="topRight"/>
      <selection pane="bottomLeft"/>
      <selection pane="bottomRight"/>
    </sheetView>
  </sheetViews>
  <sheetFormatPr defaultRowHeight="15" x14ac:dyDescent="0.25"/>
  <cols>
    <col min="1" max="1" width="11" customWidth="1"/>
    <col min="2" max="3" width="16" customWidth="1"/>
    <col min="4" max="4" width="17" customWidth="1"/>
    <col min="5" max="5" width="15" customWidth="1"/>
    <col min="6" max="6" width="16" customWidth="1"/>
    <col min="7" max="7" width="17" customWidth="1"/>
    <col min="8" max="8" width="16" customWidth="1"/>
    <col min="9" max="11" width="15" customWidth="1"/>
    <col min="12" max="12" width="17" customWidth="1"/>
    <col min="13" max="14" width="16" customWidth="1"/>
    <col min="15" max="16" width="15" customWidth="1"/>
  </cols>
  <sheetData>
    <row r="1" spans="1:16" ht="18" customHeight="1" x14ac:dyDescent="0.25">
      <c r="A1" s="9" t="s">
        <v>462</v>
      </c>
    </row>
    <row r="2" spans="1:16" x14ac:dyDescent="0.25">
      <c r="A2" s="10" t="s">
        <v>463</v>
      </c>
    </row>
    <row r="3" spans="1:16" x14ac:dyDescent="0.25">
      <c r="D3" s="46" t="s">
        <v>464</v>
      </c>
      <c r="E3" s="47">
        <f>(1+'Fund Terms'!$B$14)^0.25-1</f>
        <v>1.9426546908273501E-2</v>
      </c>
    </row>
    <row r="4" spans="1:16" ht="30" customHeight="1" x14ac:dyDescent="0.25">
      <c r="A4" s="5" t="s">
        <v>225</v>
      </c>
      <c r="B4" s="5" t="s">
        <v>465</v>
      </c>
      <c r="C4" s="5" t="s">
        <v>425</v>
      </c>
      <c r="D4" s="5" t="s">
        <v>466</v>
      </c>
      <c r="E4" s="5" t="s">
        <v>467</v>
      </c>
      <c r="F4" s="5" t="s">
        <v>468</v>
      </c>
      <c r="G4" s="5" t="s">
        <v>469</v>
      </c>
      <c r="H4" s="5" t="s">
        <v>470</v>
      </c>
      <c r="I4" s="5" t="s">
        <v>471</v>
      </c>
      <c r="J4" s="5" t="s">
        <v>472</v>
      </c>
      <c r="K4" s="5" t="s">
        <v>473</v>
      </c>
      <c r="L4" s="5" t="s">
        <v>474</v>
      </c>
      <c r="M4" s="5" t="s">
        <v>475</v>
      </c>
      <c r="N4" s="5" t="s">
        <v>476</v>
      </c>
      <c r="O4" s="5" t="s">
        <v>477</v>
      </c>
      <c r="P4" s="5"/>
    </row>
    <row r="5" spans="1:16" x14ac:dyDescent="0.25">
      <c r="A5" s="8" t="s">
        <v>230</v>
      </c>
      <c r="B5" s="12">
        <v>3100000</v>
      </c>
      <c r="C5" s="12">
        <v>0</v>
      </c>
      <c r="D5" s="12">
        <v>0</v>
      </c>
      <c r="E5" s="23">
        <f t="shared" ref="E5:E50" si="0">D5*$E$3</f>
        <v>0</v>
      </c>
      <c r="F5" s="23">
        <f>E5</f>
        <v>0</v>
      </c>
      <c r="G5" s="23">
        <f t="shared" ref="G5:G50" si="1">MIN(C5,D5+B5)</f>
        <v>0</v>
      </c>
      <c r="H5" s="23">
        <f t="shared" ref="H5:H50" si="2">MIN(C5-G5,F5)</f>
        <v>0</v>
      </c>
      <c r="I5" s="23">
        <f>H5</f>
        <v>0</v>
      </c>
      <c r="J5" s="23">
        <f>I5*'Fund Terms'!$B$16/(1-'Fund Terms'!$B$16)</f>
        <v>0</v>
      </c>
      <c r="K5" s="23">
        <f>MIN(C5-G5-H5,MAX(0,J5-0))</f>
        <v>0</v>
      </c>
      <c r="L5" s="23">
        <f>(C5-G5-H5-K5)*(1-'Fund Terms'!$B$16)</f>
        <v>0</v>
      </c>
      <c r="M5" s="23">
        <f>(C5-G5-H5-K5)*'Fund Terms'!$B$16</f>
        <v>0</v>
      </c>
      <c r="N5" s="23">
        <f t="shared" ref="N5:N50" si="3">D5+B5-G5</f>
        <v>3100000</v>
      </c>
      <c r="O5" s="23">
        <f t="shared" ref="O5:O50" si="4">F5-H5</f>
        <v>0</v>
      </c>
    </row>
    <row r="6" spans="1:16" x14ac:dyDescent="0.25">
      <c r="A6" s="8" t="s">
        <v>235</v>
      </c>
      <c r="B6" s="12">
        <v>42700000</v>
      </c>
      <c r="C6" s="12">
        <v>0</v>
      </c>
      <c r="D6" s="23">
        <f t="shared" ref="D6:D50" si="5">N5</f>
        <v>3100000</v>
      </c>
      <c r="E6" s="23">
        <f t="shared" si="0"/>
        <v>60222.295415647852</v>
      </c>
      <c r="F6" s="23">
        <f t="shared" ref="F6:F50" si="6">O5+E6</f>
        <v>60222.295415647852</v>
      </c>
      <c r="G6" s="23">
        <f t="shared" si="1"/>
        <v>0</v>
      </c>
      <c r="H6" s="23">
        <f t="shared" si="2"/>
        <v>0</v>
      </c>
      <c r="I6" s="23">
        <f t="shared" ref="I6:I50" si="7">I5+H6</f>
        <v>0</v>
      </c>
      <c r="J6" s="23">
        <f>I6*'Fund Terms'!$B$16/(1-'Fund Terms'!$B$16)</f>
        <v>0</v>
      </c>
      <c r="K6" s="23">
        <f>MIN(C6-G6-H6,MAX(0,J6-SUM($K$5:K5)))</f>
        <v>0</v>
      </c>
      <c r="L6" s="23">
        <f>(C6-G6-H6-K6)*(1-'Fund Terms'!$B$16)</f>
        <v>0</v>
      </c>
      <c r="M6" s="23">
        <f>(C6-G6-H6-K6)*'Fund Terms'!$B$16</f>
        <v>0</v>
      </c>
      <c r="N6" s="23">
        <f t="shared" si="3"/>
        <v>45800000</v>
      </c>
      <c r="O6" s="23">
        <f t="shared" si="4"/>
        <v>60222.295415647852</v>
      </c>
    </row>
    <row r="7" spans="1:16" x14ac:dyDescent="0.25">
      <c r="A7" s="8" t="s">
        <v>237</v>
      </c>
      <c r="B7" s="12">
        <v>700000</v>
      </c>
      <c r="C7" s="12">
        <v>0</v>
      </c>
      <c r="D7" s="23">
        <f t="shared" si="5"/>
        <v>45800000</v>
      </c>
      <c r="E7" s="23">
        <f t="shared" si="0"/>
        <v>889735.84839892632</v>
      </c>
      <c r="F7" s="23">
        <f t="shared" si="6"/>
        <v>949958.14381457423</v>
      </c>
      <c r="G7" s="23">
        <f t="shared" si="1"/>
        <v>0</v>
      </c>
      <c r="H7" s="23">
        <f t="shared" si="2"/>
        <v>0</v>
      </c>
      <c r="I7" s="23">
        <f t="shared" si="7"/>
        <v>0</v>
      </c>
      <c r="J7" s="23">
        <f>I7*'Fund Terms'!$B$16/(1-'Fund Terms'!$B$16)</f>
        <v>0</v>
      </c>
      <c r="K7" s="23">
        <f>MIN(C7-G7-H7,MAX(0,J7-SUM($K$5:K6)))</f>
        <v>0</v>
      </c>
      <c r="L7" s="23">
        <f>(C7-G7-H7-K7)*(1-'Fund Terms'!$B$16)</f>
        <v>0</v>
      </c>
      <c r="M7" s="23">
        <f>(C7-G7-H7-K7)*'Fund Terms'!$B$16</f>
        <v>0</v>
      </c>
      <c r="N7" s="23">
        <f t="shared" si="3"/>
        <v>46500000</v>
      </c>
      <c r="O7" s="23">
        <f t="shared" si="4"/>
        <v>949958.14381457423</v>
      </c>
    </row>
    <row r="8" spans="1:16" x14ac:dyDescent="0.25">
      <c r="A8" s="8" t="s">
        <v>238</v>
      </c>
      <c r="B8" s="12">
        <v>1000000</v>
      </c>
      <c r="C8" s="12">
        <v>0</v>
      </c>
      <c r="D8" s="23">
        <f t="shared" si="5"/>
        <v>46500000</v>
      </c>
      <c r="E8" s="23">
        <f t="shared" si="0"/>
        <v>903334.43123471783</v>
      </c>
      <c r="F8" s="23">
        <f t="shared" si="6"/>
        <v>1853292.5750492921</v>
      </c>
      <c r="G8" s="23">
        <f t="shared" si="1"/>
        <v>0</v>
      </c>
      <c r="H8" s="23">
        <f t="shared" si="2"/>
        <v>0</v>
      </c>
      <c r="I8" s="23">
        <f t="shared" si="7"/>
        <v>0</v>
      </c>
      <c r="J8" s="23">
        <f>I8*'Fund Terms'!$B$16/(1-'Fund Terms'!$B$16)</f>
        <v>0</v>
      </c>
      <c r="K8" s="23">
        <f>MIN(C8-G8-H8,MAX(0,J8-SUM($K$5:K7)))</f>
        <v>0</v>
      </c>
      <c r="L8" s="23">
        <f>(C8-G8-H8-K8)*(1-'Fund Terms'!$B$16)</f>
        <v>0</v>
      </c>
      <c r="M8" s="23">
        <f>(C8-G8-H8-K8)*'Fund Terms'!$B$16</f>
        <v>0</v>
      </c>
      <c r="N8" s="23">
        <f t="shared" si="3"/>
        <v>47500000</v>
      </c>
      <c r="O8" s="23">
        <f t="shared" si="4"/>
        <v>1853292.5750492921</v>
      </c>
    </row>
    <row r="9" spans="1:16" x14ac:dyDescent="0.25">
      <c r="A9" s="8" t="s">
        <v>241</v>
      </c>
      <c r="B9" s="12">
        <v>31000000.010000002</v>
      </c>
      <c r="C9" s="12">
        <v>0</v>
      </c>
      <c r="D9" s="23">
        <f t="shared" si="5"/>
        <v>47500000</v>
      </c>
      <c r="E9" s="23">
        <f t="shared" si="0"/>
        <v>922760.97814299131</v>
      </c>
      <c r="F9" s="23">
        <f t="shared" si="6"/>
        <v>2776053.5531922835</v>
      </c>
      <c r="G9" s="23">
        <f t="shared" si="1"/>
        <v>0</v>
      </c>
      <c r="H9" s="23">
        <f t="shared" si="2"/>
        <v>0</v>
      </c>
      <c r="I9" s="23">
        <f t="shared" si="7"/>
        <v>0</v>
      </c>
      <c r="J9" s="23">
        <f>I9*'Fund Terms'!$B$16/(1-'Fund Terms'!$B$16)</f>
        <v>0</v>
      </c>
      <c r="K9" s="23">
        <f>MIN(C9-G9-H9,MAX(0,J9-SUM($K$5:K8)))</f>
        <v>0</v>
      </c>
      <c r="L9" s="23">
        <f>(C9-G9-H9-K9)*(1-'Fund Terms'!$B$16)</f>
        <v>0</v>
      </c>
      <c r="M9" s="23">
        <f>(C9-G9-H9-K9)*'Fund Terms'!$B$16</f>
        <v>0</v>
      </c>
      <c r="N9" s="23">
        <f t="shared" si="3"/>
        <v>78500000.010000005</v>
      </c>
      <c r="O9" s="23">
        <f t="shared" si="4"/>
        <v>2776053.5531922835</v>
      </c>
    </row>
    <row r="10" spans="1:16" x14ac:dyDescent="0.25">
      <c r="A10" s="8" t="s">
        <v>242</v>
      </c>
      <c r="B10" s="12">
        <v>1399999.99</v>
      </c>
      <c r="C10" s="12">
        <v>0</v>
      </c>
      <c r="D10" s="23">
        <f t="shared" si="5"/>
        <v>78500000.010000005</v>
      </c>
      <c r="E10" s="23">
        <f t="shared" si="0"/>
        <v>1524983.9324937353</v>
      </c>
      <c r="F10" s="23">
        <f t="shared" si="6"/>
        <v>4301037.4856860191</v>
      </c>
      <c r="G10" s="23">
        <f t="shared" si="1"/>
        <v>0</v>
      </c>
      <c r="H10" s="23">
        <f t="shared" si="2"/>
        <v>0</v>
      </c>
      <c r="I10" s="23">
        <f t="shared" si="7"/>
        <v>0</v>
      </c>
      <c r="J10" s="23">
        <f>I10*'Fund Terms'!$B$16/(1-'Fund Terms'!$B$16)</f>
        <v>0</v>
      </c>
      <c r="K10" s="23">
        <f>MIN(C10-G10-H10,MAX(0,J10-SUM($K$5:K9)))</f>
        <v>0</v>
      </c>
      <c r="L10" s="23">
        <f>(C10-G10-H10-K10)*(1-'Fund Terms'!$B$16)</f>
        <v>0</v>
      </c>
      <c r="M10" s="23">
        <f>(C10-G10-H10-K10)*'Fund Terms'!$B$16</f>
        <v>0</v>
      </c>
      <c r="N10" s="23">
        <f t="shared" si="3"/>
        <v>79900000</v>
      </c>
      <c r="O10" s="23">
        <f t="shared" si="4"/>
        <v>4301037.4856860191</v>
      </c>
    </row>
    <row r="11" spans="1:16" x14ac:dyDescent="0.25">
      <c r="A11" s="8" t="s">
        <v>243</v>
      </c>
      <c r="B11" s="12">
        <v>1400000</v>
      </c>
      <c r="C11" s="12">
        <v>0</v>
      </c>
      <c r="D11" s="23">
        <f t="shared" si="5"/>
        <v>79900000</v>
      </c>
      <c r="E11" s="23">
        <f t="shared" si="0"/>
        <v>1552181.0979710526</v>
      </c>
      <c r="F11" s="23">
        <f t="shared" si="6"/>
        <v>5853218.5836570719</v>
      </c>
      <c r="G11" s="23">
        <f t="shared" si="1"/>
        <v>0</v>
      </c>
      <c r="H11" s="23">
        <f t="shared" si="2"/>
        <v>0</v>
      </c>
      <c r="I11" s="23">
        <f t="shared" si="7"/>
        <v>0</v>
      </c>
      <c r="J11" s="23">
        <f>I11*'Fund Terms'!$B$16/(1-'Fund Terms'!$B$16)</f>
        <v>0</v>
      </c>
      <c r="K11" s="23">
        <f>MIN(C11-G11-H11,MAX(0,J11-SUM($K$5:K10)))</f>
        <v>0</v>
      </c>
      <c r="L11" s="23">
        <f>(C11-G11-H11-K11)*(1-'Fund Terms'!$B$16)</f>
        <v>0</v>
      </c>
      <c r="M11" s="23">
        <f>(C11-G11-H11-K11)*'Fund Terms'!$B$16</f>
        <v>0</v>
      </c>
      <c r="N11" s="23">
        <f t="shared" si="3"/>
        <v>81300000</v>
      </c>
      <c r="O11" s="23">
        <f t="shared" si="4"/>
        <v>5853218.5836570719</v>
      </c>
    </row>
    <row r="12" spans="1:16" x14ac:dyDescent="0.25">
      <c r="A12" s="8" t="s">
        <v>244</v>
      </c>
      <c r="B12" s="12">
        <v>26300000</v>
      </c>
      <c r="C12" s="12">
        <v>0</v>
      </c>
      <c r="D12" s="23">
        <f t="shared" si="5"/>
        <v>81300000</v>
      </c>
      <c r="E12" s="23">
        <f t="shared" si="0"/>
        <v>1579378.2636426357</v>
      </c>
      <c r="F12" s="23">
        <f t="shared" si="6"/>
        <v>7432596.8472997081</v>
      </c>
      <c r="G12" s="23">
        <f t="shared" si="1"/>
        <v>0</v>
      </c>
      <c r="H12" s="23">
        <f t="shared" si="2"/>
        <v>0</v>
      </c>
      <c r="I12" s="23">
        <f t="shared" si="7"/>
        <v>0</v>
      </c>
      <c r="J12" s="23">
        <f>I12*'Fund Terms'!$B$16/(1-'Fund Terms'!$B$16)</f>
        <v>0</v>
      </c>
      <c r="K12" s="23">
        <f>MIN(C12-G12-H12,MAX(0,J12-SUM($K$5:K11)))</f>
        <v>0</v>
      </c>
      <c r="L12" s="23">
        <f>(C12-G12-H12-K12)*(1-'Fund Terms'!$B$16)</f>
        <v>0</v>
      </c>
      <c r="M12" s="23">
        <f>(C12-G12-H12-K12)*'Fund Terms'!$B$16</f>
        <v>0</v>
      </c>
      <c r="N12" s="23">
        <f t="shared" si="3"/>
        <v>107600000</v>
      </c>
      <c r="O12" s="23">
        <f t="shared" si="4"/>
        <v>7432596.8472997081</v>
      </c>
    </row>
    <row r="13" spans="1:16" x14ac:dyDescent="0.25">
      <c r="A13" s="8" t="s">
        <v>245</v>
      </c>
      <c r="B13" s="12">
        <v>9400000</v>
      </c>
      <c r="C13" s="12">
        <v>0</v>
      </c>
      <c r="D13" s="23">
        <f t="shared" si="5"/>
        <v>107600000</v>
      </c>
      <c r="E13" s="23">
        <f t="shared" si="0"/>
        <v>2090296.4473302288</v>
      </c>
      <c r="F13" s="23">
        <f t="shared" si="6"/>
        <v>9522893.294629937</v>
      </c>
      <c r="G13" s="23">
        <f t="shared" si="1"/>
        <v>0</v>
      </c>
      <c r="H13" s="23">
        <f t="shared" si="2"/>
        <v>0</v>
      </c>
      <c r="I13" s="23">
        <f t="shared" si="7"/>
        <v>0</v>
      </c>
      <c r="J13" s="23">
        <f>I13*'Fund Terms'!$B$16/(1-'Fund Terms'!$B$16)</f>
        <v>0</v>
      </c>
      <c r="K13" s="23">
        <f>MIN(C13-G13-H13,MAX(0,J13-SUM($K$5:K12)))</f>
        <v>0</v>
      </c>
      <c r="L13" s="23">
        <f>(C13-G13-H13-K13)*(1-'Fund Terms'!$B$16)</f>
        <v>0</v>
      </c>
      <c r="M13" s="23">
        <f>(C13-G13-H13-K13)*'Fund Terms'!$B$16</f>
        <v>0</v>
      </c>
      <c r="N13" s="23">
        <f t="shared" si="3"/>
        <v>117000000</v>
      </c>
      <c r="O13" s="23">
        <f t="shared" si="4"/>
        <v>9522893.294629937</v>
      </c>
    </row>
    <row r="14" spans="1:16" x14ac:dyDescent="0.25">
      <c r="A14" s="8" t="s">
        <v>247</v>
      </c>
      <c r="B14" s="12">
        <v>13400000</v>
      </c>
      <c r="C14" s="12">
        <v>0</v>
      </c>
      <c r="D14" s="23">
        <f t="shared" si="5"/>
        <v>117000000</v>
      </c>
      <c r="E14" s="23">
        <f t="shared" si="0"/>
        <v>2272905.9882679996</v>
      </c>
      <c r="F14" s="23">
        <f t="shared" si="6"/>
        <v>11795799.282897936</v>
      </c>
      <c r="G14" s="23">
        <f t="shared" si="1"/>
        <v>0</v>
      </c>
      <c r="H14" s="23">
        <f t="shared" si="2"/>
        <v>0</v>
      </c>
      <c r="I14" s="23">
        <f t="shared" si="7"/>
        <v>0</v>
      </c>
      <c r="J14" s="23">
        <f>I14*'Fund Terms'!$B$16/(1-'Fund Terms'!$B$16)</f>
        <v>0</v>
      </c>
      <c r="K14" s="23">
        <f>MIN(C14-G14-H14,MAX(0,J14-SUM($K$5:K13)))</f>
        <v>0</v>
      </c>
      <c r="L14" s="23">
        <f>(C14-G14-H14-K14)*(1-'Fund Terms'!$B$16)</f>
        <v>0</v>
      </c>
      <c r="M14" s="23">
        <f>(C14-G14-H14-K14)*'Fund Terms'!$B$16</f>
        <v>0</v>
      </c>
      <c r="N14" s="23">
        <f t="shared" si="3"/>
        <v>130400000</v>
      </c>
      <c r="O14" s="23">
        <f t="shared" si="4"/>
        <v>11795799.282897936</v>
      </c>
    </row>
    <row r="15" spans="1:16" x14ac:dyDescent="0.25">
      <c r="A15" s="8" t="s">
        <v>248</v>
      </c>
      <c r="B15" s="12">
        <v>29300000</v>
      </c>
      <c r="C15" s="12">
        <v>0</v>
      </c>
      <c r="D15" s="23">
        <f t="shared" si="5"/>
        <v>130400000</v>
      </c>
      <c r="E15" s="23">
        <f t="shared" si="0"/>
        <v>2533221.7168388646</v>
      </c>
      <c r="F15" s="23">
        <f t="shared" si="6"/>
        <v>14329020.999736801</v>
      </c>
      <c r="G15" s="23">
        <f t="shared" si="1"/>
        <v>0</v>
      </c>
      <c r="H15" s="23">
        <f t="shared" si="2"/>
        <v>0</v>
      </c>
      <c r="I15" s="23">
        <f t="shared" si="7"/>
        <v>0</v>
      </c>
      <c r="J15" s="23">
        <f>I15*'Fund Terms'!$B$16/(1-'Fund Terms'!$B$16)</f>
        <v>0</v>
      </c>
      <c r="K15" s="23">
        <f>MIN(C15-G15-H15,MAX(0,J15-SUM($K$5:K14)))</f>
        <v>0</v>
      </c>
      <c r="L15" s="23">
        <f>(C15-G15-H15-K15)*(1-'Fund Terms'!$B$16)</f>
        <v>0</v>
      </c>
      <c r="M15" s="23">
        <f>(C15-G15-H15-K15)*'Fund Terms'!$B$16</f>
        <v>0</v>
      </c>
      <c r="N15" s="23">
        <f t="shared" si="3"/>
        <v>159700000</v>
      </c>
      <c r="O15" s="23">
        <f t="shared" si="4"/>
        <v>14329020.999736801</v>
      </c>
    </row>
    <row r="16" spans="1:16" x14ac:dyDescent="0.25">
      <c r="A16" s="8" t="s">
        <v>249</v>
      </c>
      <c r="B16" s="12">
        <v>2800000</v>
      </c>
      <c r="C16" s="12">
        <v>0</v>
      </c>
      <c r="D16" s="23">
        <f t="shared" si="5"/>
        <v>159700000</v>
      </c>
      <c r="E16" s="23">
        <f t="shared" si="0"/>
        <v>3102419.541251278</v>
      </c>
      <c r="F16" s="23">
        <f t="shared" si="6"/>
        <v>17431440.54098808</v>
      </c>
      <c r="G16" s="23">
        <f t="shared" si="1"/>
        <v>0</v>
      </c>
      <c r="H16" s="23">
        <f t="shared" si="2"/>
        <v>0</v>
      </c>
      <c r="I16" s="23">
        <f t="shared" si="7"/>
        <v>0</v>
      </c>
      <c r="J16" s="23">
        <f>I16*'Fund Terms'!$B$16/(1-'Fund Terms'!$B$16)</f>
        <v>0</v>
      </c>
      <c r="K16" s="23">
        <f>MIN(C16-G16-H16,MAX(0,J16-SUM($K$5:K15)))</f>
        <v>0</v>
      </c>
      <c r="L16" s="23">
        <f>(C16-G16-H16-K16)*(1-'Fund Terms'!$B$16)</f>
        <v>0</v>
      </c>
      <c r="M16" s="23">
        <f>(C16-G16-H16-K16)*'Fund Terms'!$B$16</f>
        <v>0</v>
      </c>
      <c r="N16" s="23">
        <f t="shared" si="3"/>
        <v>162500000</v>
      </c>
      <c r="O16" s="23">
        <f t="shared" si="4"/>
        <v>17431440.54098808</v>
      </c>
    </row>
    <row r="17" spans="1:15" x14ac:dyDescent="0.25">
      <c r="A17" s="8" t="s">
        <v>250</v>
      </c>
      <c r="B17" s="12">
        <v>20700000</v>
      </c>
      <c r="C17" s="12">
        <v>0</v>
      </c>
      <c r="D17" s="23">
        <f t="shared" si="5"/>
        <v>162500000</v>
      </c>
      <c r="E17" s="23">
        <f t="shared" si="0"/>
        <v>3156813.8725944441</v>
      </c>
      <c r="F17" s="23">
        <f t="shared" si="6"/>
        <v>20588254.413582526</v>
      </c>
      <c r="G17" s="23">
        <f t="shared" si="1"/>
        <v>0</v>
      </c>
      <c r="H17" s="23">
        <f t="shared" si="2"/>
        <v>0</v>
      </c>
      <c r="I17" s="23">
        <f t="shared" si="7"/>
        <v>0</v>
      </c>
      <c r="J17" s="23">
        <f>I17*'Fund Terms'!$B$16/(1-'Fund Terms'!$B$16)</f>
        <v>0</v>
      </c>
      <c r="K17" s="23">
        <f>MIN(C17-G17-H17,MAX(0,J17-SUM($K$5:K16)))</f>
        <v>0</v>
      </c>
      <c r="L17" s="23">
        <f>(C17-G17-H17-K17)*(1-'Fund Terms'!$B$16)</f>
        <v>0</v>
      </c>
      <c r="M17" s="23">
        <f>(C17-G17-H17-K17)*'Fund Terms'!$B$16</f>
        <v>0</v>
      </c>
      <c r="N17" s="23">
        <f t="shared" si="3"/>
        <v>183200000</v>
      </c>
      <c r="O17" s="23">
        <f t="shared" si="4"/>
        <v>20588254.413582526</v>
      </c>
    </row>
    <row r="18" spans="1:15" x14ac:dyDescent="0.25">
      <c r="A18" s="8" t="s">
        <v>251</v>
      </c>
      <c r="B18" s="12">
        <v>7300000</v>
      </c>
      <c r="C18" s="12">
        <v>0</v>
      </c>
      <c r="D18" s="23">
        <f t="shared" si="5"/>
        <v>183200000</v>
      </c>
      <c r="E18" s="23">
        <f t="shared" si="0"/>
        <v>3558943.3935957053</v>
      </c>
      <c r="F18" s="23">
        <f t="shared" si="6"/>
        <v>24147197.807178233</v>
      </c>
      <c r="G18" s="23">
        <f t="shared" si="1"/>
        <v>0</v>
      </c>
      <c r="H18" s="23">
        <f t="shared" si="2"/>
        <v>0</v>
      </c>
      <c r="I18" s="23">
        <f t="shared" si="7"/>
        <v>0</v>
      </c>
      <c r="J18" s="23">
        <f>I18*'Fund Terms'!$B$16/(1-'Fund Terms'!$B$16)</f>
        <v>0</v>
      </c>
      <c r="K18" s="23">
        <f>MIN(C18-G18-H18,MAX(0,J18-SUM($K$5:K17)))</f>
        <v>0</v>
      </c>
      <c r="L18" s="23">
        <f>(C18-G18-H18-K18)*(1-'Fund Terms'!$B$16)</f>
        <v>0</v>
      </c>
      <c r="M18" s="23">
        <f>(C18-G18-H18-K18)*'Fund Terms'!$B$16</f>
        <v>0</v>
      </c>
      <c r="N18" s="23">
        <f t="shared" si="3"/>
        <v>190500000</v>
      </c>
      <c r="O18" s="23">
        <f t="shared" si="4"/>
        <v>24147197.807178233</v>
      </c>
    </row>
    <row r="19" spans="1:15" x14ac:dyDescent="0.25">
      <c r="A19" s="8" t="s">
        <v>253</v>
      </c>
      <c r="B19" s="12">
        <v>1400000</v>
      </c>
      <c r="C19" s="12">
        <v>0</v>
      </c>
      <c r="D19" s="23">
        <f t="shared" si="5"/>
        <v>190500000</v>
      </c>
      <c r="E19" s="23">
        <f t="shared" si="0"/>
        <v>3700757.1860261019</v>
      </c>
      <c r="F19" s="23">
        <f t="shared" si="6"/>
        <v>27847954.993204333</v>
      </c>
      <c r="G19" s="23">
        <f t="shared" si="1"/>
        <v>0</v>
      </c>
      <c r="H19" s="23">
        <f t="shared" si="2"/>
        <v>0</v>
      </c>
      <c r="I19" s="23">
        <f t="shared" si="7"/>
        <v>0</v>
      </c>
      <c r="J19" s="23">
        <f>I19*'Fund Terms'!$B$16/(1-'Fund Terms'!$B$16)</f>
        <v>0</v>
      </c>
      <c r="K19" s="23">
        <f>MIN(C19-G19-H19,MAX(0,J19-SUM($K$5:K18)))</f>
        <v>0</v>
      </c>
      <c r="L19" s="23">
        <f>(C19-G19-H19-K19)*(1-'Fund Terms'!$B$16)</f>
        <v>0</v>
      </c>
      <c r="M19" s="23">
        <f>(C19-G19-H19-K19)*'Fund Terms'!$B$16</f>
        <v>0</v>
      </c>
      <c r="N19" s="23">
        <f t="shared" si="3"/>
        <v>191900000</v>
      </c>
      <c r="O19" s="23">
        <f t="shared" si="4"/>
        <v>27847954.993204333</v>
      </c>
    </row>
    <row r="20" spans="1:15" x14ac:dyDescent="0.25">
      <c r="A20" s="8" t="s">
        <v>254</v>
      </c>
      <c r="B20" s="12">
        <v>1400000</v>
      </c>
      <c r="C20" s="12">
        <v>0</v>
      </c>
      <c r="D20" s="23">
        <f t="shared" si="5"/>
        <v>191900000</v>
      </c>
      <c r="E20" s="23">
        <f t="shared" si="0"/>
        <v>3727954.3516976847</v>
      </c>
      <c r="F20" s="23">
        <f t="shared" si="6"/>
        <v>31575909.344902016</v>
      </c>
      <c r="G20" s="23">
        <f t="shared" si="1"/>
        <v>0</v>
      </c>
      <c r="H20" s="23">
        <f t="shared" si="2"/>
        <v>0</v>
      </c>
      <c r="I20" s="23">
        <f t="shared" si="7"/>
        <v>0</v>
      </c>
      <c r="J20" s="23">
        <f>I20*'Fund Terms'!$B$16/(1-'Fund Terms'!$B$16)</f>
        <v>0</v>
      </c>
      <c r="K20" s="23">
        <f>MIN(C20-G20-H20,MAX(0,J20-SUM($K$5:K19)))</f>
        <v>0</v>
      </c>
      <c r="L20" s="23">
        <f>(C20-G20-H20-K20)*(1-'Fund Terms'!$B$16)</f>
        <v>0</v>
      </c>
      <c r="M20" s="23">
        <f>(C20-G20-H20-K20)*'Fund Terms'!$B$16</f>
        <v>0</v>
      </c>
      <c r="N20" s="23">
        <f t="shared" si="3"/>
        <v>193300000</v>
      </c>
      <c r="O20" s="23">
        <f t="shared" si="4"/>
        <v>31575909.344902016</v>
      </c>
    </row>
    <row r="21" spans="1:15" x14ac:dyDescent="0.25">
      <c r="A21" s="8" t="s">
        <v>255</v>
      </c>
      <c r="B21" s="12">
        <v>500000</v>
      </c>
      <c r="C21" s="12">
        <v>0</v>
      </c>
      <c r="D21" s="23">
        <f t="shared" si="5"/>
        <v>193300000</v>
      </c>
      <c r="E21" s="23">
        <f t="shared" si="0"/>
        <v>3755151.5173692675</v>
      </c>
      <c r="F21" s="23">
        <f t="shared" si="6"/>
        <v>35331060.862271287</v>
      </c>
      <c r="G21" s="23">
        <f t="shared" si="1"/>
        <v>0</v>
      </c>
      <c r="H21" s="23">
        <f t="shared" si="2"/>
        <v>0</v>
      </c>
      <c r="I21" s="23">
        <f t="shared" si="7"/>
        <v>0</v>
      </c>
      <c r="J21" s="23">
        <f>I21*'Fund Terms'!$B$16/(1-'Fund Terms'!$B$16)</f>
        <v>0</v>
      </c>
      <c r="K21" s="23">
        <f>MIN(C21-G21-H21,MAX(0,J21-SUM($K$5:K20)))</f>
        <v>0</v>
      </c>
      <c r="L21" s="23">
        <f>(C21-G21-H21-K21)*(1-'Fund Terms'!$B$16)</f>
        <v>0</v>
      </c>
      <c r="M21" s="23">
        <f>(C21-G21-H21-K21)*'Fund Terms'!$B$16</f>
        <v>0</v>
      </c>
      <c r="N21" s="23">
        <f t="shared" si="3"/>
        <v>193800000</v>
      </c>
      <c r="O21" s="23">
        <f t="shared" si="4"/>
        <v>35331060.862271287</v>
      </c>
    </row>
    <row r="22" spans="1:15" x14ac:dyDescent="0.25">
      <c r="A22" s="8" t="s">
        <v>256</v>
      </c>
      <c r="B22" s="12">
        <v>6400000</v>
      </c>
      <c r="C22" s="12">
        <v>0</v>
      </c>
      <c r="D22" s="23">
        <f t="shared" si="5"/>
        <v>193800000</v>
      </c>
      <c r="E22" s="23">
        <f t="shared" si="0"/>
        <v>3764864.7908234047</v>
      </c>
      <c r="F22" s="23">
        <f t="shared" si="6"/>
        <v>39095925.653094694</v>
      </c>
      <c r="G22" s="23">
        <f t="shared" si="1"/>
        <v>0</v>
      </c>
      <c r="H22" s="23">
        <f t="shared" si="2"/>
        <v>0</v>
      </c>
      <c r="I22" s="23">
        <f t="shared" si="7"/>
        <v>0</v>
      </c>
      <c r="J22" s="23">
        <f>I22*'Fund Terms'!$B$16/(1-'Fund Terms'!$B$16)</f>
        <v>0</v>
      </c>
      <c r="K22" s="23">
        <f>MIN(C22-G22-H22,MAX(0,J22-SUM($K$5:K21)))</f>
        <v>0</v>
      </c>
      <c r="L22" s="23">
        <f>(C22-G22-H22-K22)*(1-'Fund Terms'!$B$16)</f>
        <v>0</v>
      </c>
      <c r="M22" s="23">
        <f>(C22-G22-H22-K22)*'Fund Terms'!$B$16</f>
        <v>0</v>
      </c>
      <c r="N22" s="23">
        <f t="shared" si="3"/>
        <v>200200000</v>
      </c>
      <c r="O22" s="23">
        <f t="shared" si="4"/>
        <v>39095925.653094694</v>
      </c>
    </row>
    <row r="23" spans="1:15" x14ac:dyDescent="0.25">
      <c r="A23" s="8" t="s">
        <v>257</v>
      </c>
      <c r="B23" s="12">
        <v>5400000</v>
      </c>
      <c r="C23" s="12">
        <v>0</v>
      </c>
      <c r="D23" s="23">
        <f t="shared" si="5"/>
        <v>200200000</v>
      </c>
      <c r="E23" s="23">
        <f t="shared" si="0"/>
        <v>3889194.6910363548</v>
      </c>
      <c r="F23" s="23">
        <f t="shared" si="6"/>
        <v>42985120.344131052</v>
      </c>
      <c r="G23" s="23">
        <f t="shared" si="1"/>
        <v>0</v>
      </c>
      <c r="H23" s="23">
        <f t="shared" si="2"/>
        <v>0</v>
      </c>
      <c r="I23" s="23">
        <f t="shared" si="7"/>
        <v>0</v>
      </c>
      <c r="J23" s="23">
        <f>I23*'Fund Terms'!$B$16/(1-'Fund Terms'!$B$16)</f>
        <v>0</v>
      </c>
      <c r="K23" s="23">
        <f>MIN(C23-G23-H23,MAX(0,J23-SUM($K$5:K22)))</f>
        <v>0</v>
      </c>
      <c r="L23" s="23">
        <f>(C23-G23-H23-K23)*(1-'Fund Terms'!$B$16)</f>
        <v>0</v>
      </c>
      <c r="M23" s="23">
        <f>(C23-G23-H23-K23)*'Fund Terms'!$B$16</f>
        <v>0</v>
      </c>
      <c r="N23" s="23">
        <f t="shared" si="3"/>
        <v>205600000</v>
      </c>
      <c r="O23" s="23">
        <f t="shared" si="4"/>
        <v>42985120.344131052</v>
      </c>
    </row>
    <row r="24" spans="1:15" x14ac:dyDescent="0.25">
      <c r="A24" s="8" t="s">
        <v>258</v>
      </c>
      <c r="B24" s="12">
        <v>1300000</v>
      </c>
      <c r="C24" s="12">
        <v>0</v>
      </c>
      <c r="D24" s="23">
        <f t="shared" si="5"/>
        <v>205600000</v>
      </c>
      <c r="E24" s="23">
        <f t="shared" si="0"/>
        <v>3994098.0443410319</v>
      </c>
      <c r="F24" s="23">
        <f t="shared" si="6"/>
        <v>46979218.388472088</v>
      </c>
      <c r="G24" s="23">
        <f t="shared" si="1"/>
        <v>0</v>
      </c>
      <c r="H24" s="23">
        <f t="shared" si="2"/>
        <v>0</v>
      </c>
      <c r="I24" s="23">
        <f t="shared" si="7"/>
        <v>0</v>
      </c>
      <c r="J24" s="23">
        <f>I24*'Fund Terms'!$B$16/(1-'Fund Terms'!$B$16)</f>
        <v>0</v>
      </c>
      <c r="K24" s="23">
        <f>MIN(C24-G24-H24,MAX(0,J24-SUM($K$5:K23)))</f>
        <v>0</v>
      </c>
      <c r="L24" s="23">
        <f>(C24-G24-H24-K24)*(1-'Fund Terms'!$B$16)</f>
        <v>0</v>
      </c>
      <c r="M24" s="23">
        <f>(C24-G24-H24-K24)*'Fund Terms'!$B$16</f>
        <v>0</v>
      </c>
      <c r="N24" s="23">
        <f t="shared" si="3"/>
        <v>206900000</v>
      </c>
      <c r="O24" s="23">
        <f t="shared" si="4"/>
        <v>46979218.388472088</v>
      </c>
    </row>
    <row r="25" spans="1:15" x14ac:dyDescent="0.25">
      <c r="A25" s="8" t="s">
        <v>259</v>
      </c>
      <c r="B25" s="12">
        <v>600000</v>
      </c>
      <c r="C25" s="12">
        <v>0</v>
      </c>
      <c r="D25" s="23">
        <f t="shared" si="5"/>
        <v>206900000</v>
      </c>
      <c r="E25" s="23">
        <f t="shared" si="0"/>
        <v>4019352.5553217875</v>
      </c>
      <c r="F25" s="23">
        <f t="shared" si="6"/>
        <v>50998570.943793878</v>
      </c>
      <c r="G25" s="23">
        <f t="shared" si="1"/>
        <v>0</v>
      </c>
      <c r="H25" s="23">
        <f t="shared" si="2"/>
        <v>0</v>
      </c>
      <c r="I25" s="23">
        <f t="shared" si="7"/>
        <v>0</v>
      </c>
      <c r="J25" s="23">
        <f>I25*'Fund Terms'!$B$16/(1-'Fund Terms'!$B$16)</f>
        <v>0</v>
      </c>
      <c r="K25" s="23">
        <f>MIN(C25-G25-H25,MAX(0,J25-SUM($K$5:K24)))</f>
        <v>0</v>
      </c>
      <c r="L25" s="23">
        <f>(C25-G25-H25-K25)*(1-'Fund Terms'!$B$16)</f>
        <v>0</v>
      </c>
      <c r="M25" s="23">
        <f>(C25-G25-H25-K25)*'Fund Terms'!$B$16</f>
        <v>0</v>
      </c>
      <c r="N25" s="23">
        <f t="shared" si="3"/>
        <v>207500000</v>
      </c>
      <c r="O25" s="23">
        <f t="shared" si="4"/>
        <v>50998570.943793878</v>
      </c>
    </row>
    <row r="26" spans="1:15" x14ac:dyDescent="0.25">
      <c r="A26" s="8" t="s">
        <v>260</v>
      </c>
      <c r="B26" s="12">
        <v>1400000</v>
      </c>
      <c r="C26" s="12">
        <v>0</v>
      </c>
      <c r="D26" s="23">
        <f t="shared" si="5"/>
        <v>207500000</v>
      </c>
      <c r="E26" s="23">
        <f t="shared" si="0"/>
        <v>4031008.4834667514</v>
      </c>
      <c r="F26" s="23">
        <f t="shared" si="6"/>
        <v>55029579.42726063</v>
      </c>
      <c r="G26" s="23">
        <f t="shared" si="1"/>
        <v>0</v>
      </c>
      <c r="H26" s="23">
        <f t="shared" si="2"/>
        <v>0</v>
      </c>
      <c r="I26" s="23">
        <f t="shared" si="7"/>
        <v>0</v>
      </c>
      <c r="J26" s="23">
        <f>I26*'Fund Terms'!$B$16/(1-'Fund Terms'!$B$16)</f>
        <v>0</v>
      </c>
      <c r="K26" s="23">
        <f>MIN(C26-G26-H26,MAX(0,J26-SUM($K$5:K25)))</f>
        <v>0</v>
      </c>
      <c r="L26" s="23">
        <f>(C26-G26-H26-K26)*(1-'Fund Terms'!$B$16)</f>
        <v>0</v>
      </c>
      <c r="M26" s="23">
        <f>(C26-G26-H26-K26)*'Fund Terms'!$B$16</f>
        <v>0</v>
      </c>
      <c r="N26" s="23">
        <f t="shared" si="3"/>
        <v>208900000</v>
      </c>
      <c r="O26" s="23">
        <f t="shared" si="4"/>
        <v>55029579.42726063</v>
      </c>
    </row>
    <row r="27" spans="1:15" x14ac:dyDescent="0.25">
      <c r="A27" s="8" t="s">
        <v>261</v>
      </c>
      <c r="B27" s="12">
        <v>800000</v>
      </c>
      <c r="C27" s="12">
        <v>115200000</v>
      </c>
      <c r="D27" s="23">
        <f t="shared" si="5"/>
        <v>208900000</v>
      </c>
      <c r="E27" s="23">
        <f t="shared" si="0"/>
        <v>4058205.6491383342</v>
      </c>
      <c r="F27" s="23">
        <f t="shared" si="6"/>
        <v>59087785.076398961</v>
      </c>
      <c r="G27" s="23">
        <f t="shared" si="1"/>
        <v>115200000</v>
      </c>
      <c r="H27" s="23">
        <f t="shared" si="2"/>
        <v>0</v>
      </c>
      <c r="I27" s="23">
        <f t="shared" si="7"/>
        <v>0</v>
      </c>
      <c r="J27" s="23">
        <f>I27*'Fund Terms'!$B$16/(1-'Fund Terms'!$B$16)</f>
        <v>0</v>
      </c>
      <c r="K27" s="23">
        <f>MIN(C27-G27-H27,MAX(0,J27-SUM($K$5:K26)))</f>
        <v>0</v>
      </c>
      <c r="L27" s="23">
        <f>(C27-G27-H27-K27)*(1-'Fund Terms'!$B$16)</f>
        <v>0</v>
      </c>
      <c r="M27" s="23">
        <f>(C27-G27-H27-K27)*'Fund Terms'!$B$16</f>
        <v>0</v>
      </c>
      <c r="N27" s="23">
        <f t="shared" si="3"/>
        <v>94500000</v>
      </c>
      <c r="O27" s="23">
        <f t="shared" si="4"/>
        <v>59087785.076398961</v>
      </c>
    </row>
    <row r="28" spans="1:15" x14ac:dyDescent="0.25">
      <c r="A28" s="8" t="s">
        <v>264</v>
      </c>
      <c r="B28" s="12">
        <v>0</v>
      </c>
      <c r="C28" s="12">
        <v>0</v>
      </c>
      <c r="D28" s="23">
        <f t="shared" si="5"/>
        <v>94500000</v>
      </c>
      <c r="E28" s="23">
        <f t="shared" si="0"/>
        <v>1835808.6828318459</v>
      </c>
      <c r="F28" s="23">
        <f t="shared" si="6"/>
        <v>60923593.759230807</v>
      </c>
      <c r="G28" s="23">
        <f t="shared" si="1"/>
        <v>0</v>
      </c>
      <c r="H28" s="23">
        <f t="shared" si="2"/>
        <v>0</v>
      </c>
      <c r="I28" s="23">
        <f t="shared" si="7"/>
        <v>0</v>
      </c>
      <c r="J28" s="23">
        <f>I28*'Fund Terms'!$B$16/(1-'Fund Terms'!$B$16)</f>
        <v>0</v>
      </c>
      <c r="K28" s="23">
        <f>MIN(C28-G28-H28,MAX(0,J28-SUM($K$5:K27)))</f>
        <v>0</v>
      </c>
      <c r="L28" s="23">
        <f>(C28-G28-H28-K28)*(1-'Fund Terms'!$B$16)</f>
        <v>0</v>
      </c>
      <c r="M28" s="23">
        <f>(C28-G28-H28-K28)*'Fund Terms'!$B$16</f>
        <v>0</v>
      </c>
      <c r="N28" s="23">
        <f t="shared" si="3"/>
        <v>94500000</v>
      </c>
      <c r="O28" s="23">
        <f t="shared" si="4"/>
        <v>60923593.759230807</v>
      </c>
    </row>
    <row r="29" spans="1:15" x14ac:dyDescent="0.25">
      <c r="A29" s="8" t="s">
        <v>265</v>
      </c>
      <c r="B29" s="12">
        <v>0</v>
      </c>
      <c r="C29" s="12">
        <v>0</v>
      </c>
      <c r="D29" s="23">
        <f t="shared" si="5"/>
        <v>94500000</v>
      </c>
      <c r="E29" s="23">
        <f t="shared" si="0"/>
        <v>1835808.6828318459</v>
      </c>
      <c r="F29" s="23">
        <f t="shared" si="6"/>
        <v>62759402.442062654</v>
      </c>
      <c r="G29" s="23">
        <f t="shared" si="1"/>
        <v>0</v>
      </c>
      <c r="H29" s="23">
        <f t="shared" si="2"/>
        <v>0</v>
      </c>
      <c r="I29" s="23">
        <f t="shared" si="7"/>
        <v>0</v>
      </c>
      <c r="J29" s="23">
        <f>I29*'Fund Terms'!$B$16/(1-'Fund Terms'!$B$16)</f>
        <v>0</v>
      </c>
      <c r="K29" s="23">
        <f>MIN(C29-G29-H29,MAX(0,J29-SUM($K$5:K28)))</f>
        <v>0</v>
      </c>
      <c r="L29" s="23">
        <f>(C29-G29-H29-K29)*(1-'Fund Terms'!$B$16)</f>
        <v>0</v>
      </c>
      <c r="M29" s="23">
        <f>(C29-G29-H29-K29)*'Fund Terms'!$B$16</f>
        <v>0</v>
      </c>
      <c r="N29" s="23">
        <f t="shared" si="3"/>
        <v>94500000</v>
      </c>
      <c r="O29" s="23">
        <f t="shared" si="4"/>
        <v>62759402.442062654</v>
      </c>
    </row>
    <row r="30" spans="1:15" x14ac:dyDescent="0.25">
      <c r="A30" s="8" t="s">
        <v>266</v>
      </c>
      <c r="B30" s="12">
        <v>1300000</v>
      </c>
      <c r="C30" s="12">
        <v>26000000</v>
      </c>
      <c r="D30" s="23">
        <f t="shared" si="5"/>
        <v>94500000</v>
      </c>
      <c r="E30" s="23">
        <f t="shared" si="0"/>
        <v>1835808.6828318459</v>
      </c>
      <c r="F30" s="23">
        <f t="shared" si="6"/>
        <v>64595211.1248945</v>
      </c>
      <c r="G30" s="23">
        <f t="shared" si="1"/>
        <v>26000000</v>
      </c>
      <c r="H30" s="23">
        <f t="shared" si="2"/>
        <v>0</v>
      </c>
      <c r="I30" s="23">
        <f t="shared" si="7"/>
        <v>0</v>
      </c>
      <c r="J30" s="23">
        <f>I30*'Fund Terms'!$B$16/(1-'Fund Terms'!$B$16)</f>
        <v>0</v>
      </c>
      <c r="K30" s="23">
        <f>MIN(C30-G30-H30,MAX(0,J30-SUM($K$5:K29)))</f>
        <v>0</v>
      </c>
      <c r="L30" s="23">
        <f>(C30-G30-H30-K30)*(1-'Fund Terms'!$B$16)</f>
        <v>0</v>
      </c>
      <c r="M30" s="23">
        <f>(C30-G30-H30-K30)*'Fund Terms'!$B$16</f>
        <v>0</v>
      </c>
      <c r="N30" s="23">
        <f t="shared" si="3"/>
        <v>69800000</v>
      </c>
      <c r="O30" s="23">
        <f t="shared" si="4"/>
        <v>64595211.1248945</v>
      </c>
    </row>
    <row r="31" spans="1:15" x14ac:dyDescent="0.25">
      <c r="A31" s="8" t="s">
        <v>267</v>
      </c>
      <c r="B31" s="12">
        <v>0</v>
      </c>
      <c r="C31" s="12">
        <v>0</v>
      </c>
      <c r="D31" s="23">
        <f t="shared" si="5"/>
        <v>69800000</v>
      </c>
      <c r="E31" s="23">
        <f t="shared" si="0"/>
        <v>1355972.9741974904</v>
      </c>
      <c r="F31" s="23">
        <f t="shared" si="6"/>
        <v>65951184.099091992</v>
      </c>
      <c r="G31" s="23">
        <f t="shared" si="1"/>
        <v>0</v>
      </c>
      <c r="H31" s="23">
        <f t="shared" si="2"/>
        <v>0</v>
      </c>
      <c r="I31" s="23">
        <f t="shared" si="7"/>
        <v>0</v>
      </c>
      <c r="J31" s="23">
        <f>I31*'Fund Terms'!$B$16/(1-'Fund Terms'!$B$16)</f>
        <v>0</v>
      </c>
      <c r="K31" s="23">
        <f>MIN(C31-G31-H31,MAX(0,J31-SUM($K$5:K30)))</f>
        <v>0</v>
      </c>
      <c r="L31" s="23">
        <f>(C31-G31-H31-K31)*(1-'Fund Terms'!$B$16)</f>
        <v>0</v>
      </c>
      <c r="M31" s="23">
        <f>(C31-G31-H31-K31)*'Fund Terms'!$B$16</f>
        <v>0</v>
      </c>
      <c r="N31" s="23">
        <f t="shared" si="3"/>
        <v>69800000</v>
      </c>
      <c r="O31" s="23">
        <f t="shared" si="4"/>
        <v>65951184.099091992</v>
      </c>
    </row>
    <row r="32" spans="1:15" x14ac:dyDescent="0.25">
      <c r="A32" s="8" t="s">
        <v>268</v>
      </c>
      <c r="B32" s="12">
        <v>0</v>
      </c>
      <c r="C32" s="12">
        <v>0</v>
      </c>
      <c r="D32" s="23">
        <f t="shared" si="5"/>
        <v>69800000</v>
      </c>
      <c r="E32" s="23">
        <f t="shared" si="0"/>
        <v>1355972.9741974904</v>
      </c>
      <c r="F32" s="23">
        <f t="shared" si="6"/>
        <v>67307157.073289484</v>
      </c>
      <c r="G32" s="23">
        <f t="shared" si="1"/>
        <v>0</v>
      </c>
      <c r="H32" s="23">
        <f t="shared" si="2"/>
        <v>0</v>
      </c>
      <c r="I32" s="23">
        <f t="shared" si="7"/>
        <v>0</v>
      </c>
      <c r="J32" s="23">
        <f>I32*'Fund Terms'!$B$16/(1-'Fund Terms'!$B$16)</f>
        <v>0</v>
      </c>
      <c r="K32" s="23">
        <f>MIN(C32-G32-H32,MAX(0,J32-SUM($K$5:K31)))</f>
        <v>0</v>
      </c>
      <c r="L32" s="23">
        <f>(C32-G32-H32-K32)*(1-'Fund Terms'!$B$16)</f>
        <v>0</v>
      </c>
      <c r="M32" s="23">
        <f>(C32-G32-H32-K32)*'Fund Terms'!$B$16</f>
        <v>0</v>
      </c>
      <c r="N32" s="23">
        <f t="shared" si="3"/>
        <v>69800000</v>
      </c>
      <c r="O32" s="23">
        <f t="shared" si="4"/>
        <v>67307157.073289484</v>
      </c>
    </row>
    <row r="33" spans="1:15" x14ac:dyDescent="0.25">
      <c r="A33" s="8" t="s">
        <v>269</v>
      </c>
      <c r="B33" s="12">
        <v>0</v>
      </c>
      <c r="C33" s="12">
        <v>0</v>
      </c>
      <c r="D33" s="23">
        <f t="shared" si="5"/>
        <v>69800000</v>
      </c>
      <c r="E33" s="23">
        <f t="shared" si="0"/>
        <v>1355972.9741974904</v>
      </c>
      <c r="F33" s="23">
        <f t="shared" si="6"/>
        <v>68663130.047486976</v>
      </c>
      <c r="G33" s="23">
        <f t="shared" si="1"/>
        <v>0</v>
      </c>
      <c r="H33" s="23">
        <f t="shared" si="2"/>
        <v>0</v>
      </c>
      <c r="I33" s="23">
        <f t="shared" si="7"/>
        <v>0</v>
      </c>
      <c r="J33" s="23">
        <f>I33*'Fund Terms'!$B$16/(1-'Fund Terms'!$B$16)</f>
        <v>0</v>
      </c>
      <c r="K33" s="23">
        <f>MIN(C33-G33-H33,MAX(0,J33-SUM($K$5:K32)))</f>
        <v>0</v>
      </c>
      <c r="L33" s="23">
        <f>(C33-G33-H33-K33)*(1-'Fund Terms'!$B$16)</f>
        <v>0</v>
      </c>
      <c r="M33" s="23">
        <f>(C33-G33-H33-K33)*'Fund Terms'!$B$16</f>
        <v>0</v>
      </c>
      <c r="N33" s="23">
        <f t="shared" si="3"/>
        <v>69800000</v>
      </c>
      <c r="O33" s="23">
        <f t="shared" si="4"/>
        <v>68663130.047486976</v>
      </c>
    </row>
    <row r="34" spans="1:15" x14ac:dyDescent="0.25">
      <c r="A34" s="8" t="s">
        <v>270</v>
      </c>
      <c r="B34" s="12">
        <v>0</v>
      </c>
      <c r="C34" s="12">
        <v>0</v>
      </c>
      <c r="D34" s="23">
        <f t="shared" si="5"/>
        <v>69800000</v>
      </c>
      <c r="E34" s="23">
        <f t="shared" si="0"/>
        <v>1355972.9741974904</v>
      </c>
      <c r="F34" s="23">
        <f t="shared" si="6"/>
        <v>70019103.021684468</v>
      </c>
      <c r="G34" s="23">
        <f t="shared" si="1"/>
        <v>0</v>
      </c>
      <c r="H34" s="23">
        <f t="shared" si="2"/>
        <v>0</v>
      </c>
      <c r="I34" s="23">
        <f t="shared" si="7"/>
        <v>0</v>
      </c>
      <c r="J34" s="23">
        <f>I34*'Fund Terms'!$B$16/(1-'Fund Terms'!$B$16)</f>
        <v>0</v>
      </c>
      <c r="K34" s="23">
        <f>MIN(C34-G34-H34,MAX(0,J34-SUM($K$5:K33)))</f>
        <v>0</v>
      </c>
      <c r="L34" s="23">
        <f>(C34-G34-H34-K34)*(1-'Fund Terms'!$B$16)</f>
        <v>0</v>
      </c>
      <c r="M34" s="23">
        <f>(C34-G34-H34-K34)*'Fund Terms'!$B$16</f>
        <v>0</v>
      </c>
      <c r="N34" s="23">
        <f t="shared" si="3"/>
        <v>69800000</v>
      </c>
      <c r="O34" s="23">
        <f t="shared" si="4"/>
        <v>70019103.021684468</v>
      </c>
    </row>
    <row r="35" spans="1:15" x14ac:dyDescent="0.25">
      <c r="A35" s="8" t="s">
        <v>271</v>
      </c>
      <c r="B35" s="12">
        <v>500000</v>
      </c>
      <c r="C35" s="12">
        <v>0</v>
      </c>
      <c r="D35" s="23">
        <f t="shared" si="5"/>
        <v>69800000</v>
      </c>
      <c r="E35" s="23">
        <f t="shared" si="0"/>
        <v>1355972.9741974904</v>
      </c>
      <c r="F35" s="23">
        <f t="shared" si="6"/>
        <v>71375075.99588196</v>
      </c>
      <c r="G35" s="23">
        <f t="shared" si="1"/>
        <v>0</v>
      </c>
      <c r="H35" s="23">
        <f t="shared" si="2"/>
        <v>0</v>
      </c>
      <c r="I35" s="23">
        <f t="shared" si="7"/>
        <v>0</v>
      </c>
      <c r="J35" s="23">
        <f>I35*'Fund Terms'!$B$16/(1-'Fund Terms'!$B$16)</f>
        <v>0</v>
      </c>
      <c r="K35" s="23">
        <f>MIN(C35-G35-H35,MAX(0,J35-SUM($K$5:K34)))</f>
        <v>0</v>
      </c>
      <c r="L35" s="23">
        <f>(C35-G35-H35-K35)*(1-'Fund Terms'!$B$16)</f>
        <v>0</v>
      </c>
      <c r="M35" s="23">
        <f>(C35-G35-H35-K35)*'Fund Terms'!$B$16</f>
        <v>0</v>
      </c>
      <c r="N35" s="23">
        <f t="shared" si="3"/>
        <v>70300000</v>
      </c>
      <c r="O35" s="23">
        <f t="shared" si="4"/>
        <v>71375075.99588196</v>
      </c>
    </row>
    <row r="36" spans="1:15" x14ac:dyDescent="0.25">
      <c r="A36" s="8" t="s">
        <v>272</v>
      </c>
      <c r="B36" s="12">
        <v>700000</v>
      </c>
      <c r="C36" s="12">
        <v>0</v>
      </c>
      <c r="D36" s="23">
        <f t="shared" si="5"/>
        <v>70300000</v>
      </c>
      <c r="E36" s="23">
        <f t="shared" si="0"/>
        <v>1365686.2476516271</v>
      </c>
      <c r="F36" s="23">
        <f t="shared" si="6"/>
        <v>72740762.243533581</v>
      </c>
      <c r="G36" s="23">
        <f t="shared" si="1"/>
        <v>0</v>
      </c>
      <c r="H36" s="23">
        <f t="shared" si="2"/>
        <v>0</v>
      </c>
      <c r="I36" s="23">
        <f t="shared" si="7"/>
        <v>0</v>
      </c>
      <c r="J36" s="23">
        <f>I36*'Fund Terms'!$B$16/(1-'Fund Terms'!$B$16)</f>
        <v>0</v>
      </c>
      <c r="K36" s="23">
        <f>MIN(C36-G36-H36,MAX(0,J36-SUM($K$5:K35)))</f>
        <v>0</v>
      </c>
      <c r="L36" s="23">
        <f>(C36-G36-H36-K36)*(1-'Fund Terms'!$B$16)</f>
        <v>0</v>
      </c>
      <c r="M36" s="23">
        <f>(C36-G36-H36-K36)*'Fund Terms'!$B$16</f>
        <v>0</v>
      </c>
      <c r="N36" s="23">
        <f t="shared" si="3"/>
        <v>71000000</v>
      </c>
      <c r="O36" s="23">
        <f t="shared" si="4"/>
        <v>72740762.243533581</v>
      </c>
    </row>
    <row r="37" spans="1:15" x14ac:dyDescent="0.25">
      <c r="A37" s="8" t="s">
        <v>273</v>
      </c>
      <c r="B37" s="12">
        <v>700000</v>
      </c>
      <c r="C37" s="12">
        <v>0</v>
      </c>
      <c r="D37" s="23">
        <f t="shared" si="5"/>
        <v>71000000</v>
      </c>
      <c r="E37" s="23">
        <f t="shared" si="0"/>
        <v>1379284.8304874185</v>
      </c>
      <c r="F37" s="23">
        <f t="shared" si="6"/>
        <v>74120047.074020997</v>
      </c>
      <c r="G37" s="23">
        <f t="shared" si="1"/>
        <v>0</v>
      </c>
      <c r="H37" s="23">
        <f t="shared" si="2"/>
        <v>0</v>
      </c>
      <c r="I37" s="23">
        <f t="shared" si="7"/>
        <v>0</v>
      </c>
      <c r="J37" s="23">
        <f>I37*'Fund Terms'!$B$16/(1-'Fund Terms'!$B$16)</f>
        <v>0</v>
      </c>
      <c r="K37" s="23">
        <f>MIN(C37-G37-H37,MAX(0,J37-SUM($K$5:K36)))</f>
        <v>0</v>
      </c>
      <c r="L37" s="23">
        <f>(C37-G37-H37-K37)*(1-'Fund Terms'!$B$16)</f>
        <v>0</v>
      </c>
      <c r="M37" s="23">
        <f>(C37-G37-H37-K37)*'Fund Terms'!$B$16</f>
        <v>0</v>
      </c>
      <c r="N37" s="23">
        <f t="shared" si="3"/>
        <v>71700000</v>
      </c>
      <c r="O37" s="23">
        <f t="shared" si="4"/>
        <v>74120047.074020997</v>
      </c>
    </row>
    <row r="38" spans="1:15" x14ac:dyDescent="0.25">
      <c r="A38" s="8" t="s">
        <v>274</v>
      </c>
      <c r="B38" s="12">
        <v>400000</v>
      </c>
      <c r="C38" s="12">
        <v>89200000</v>
      </c>
      <c r="D38" s="23">
        <f t="shared" si="5"/>
        <v>71700000</v>
      </c>
      <c r="E38" s="23">
        <f t="shared" si="0"/>
        <v>1392883.4133232101</v>
      </c>
      <c r="F38" s="23">
        <f t="shared" si="6"/>
        <v>75512930.487344205</v>
      </c>
      <c r="G38" s="23">
        <f t="shared" si="1"/>
        <v>72100000</v>
      </c>
      <c r="H38" s="23">
        <f t="shared" si="2"/>
        <v>17100000</v>
      </c>
      <c r="I38" s="23">
        <f t="shared" si="7"/>
        <v>17100000</v>
      </c>
      <c r="J38" s="23">
        <f>I38*'Fund Terms'!$B$16/(1-'Fund Terms'!$B$16)</f>
        <v>4275000</v>
      </c>
      <c r="K38" s="23">
        <f>MIN(C38-G38-H38,MAX(0,J38-SUM($K$5:K37)))</f>
        <v>0</v>
      </c>
      <c r="L38" s="23">
        <f>(C38-G38-H38-K38)*(1-'Fund Terms'!$B$16)</f>
        <v>0</v>
      </c>
      <c r="M38" s="23">
        <f>(C38-G38-H38-K38)*'Fund Terms'!$B$16</f>
        <v>0</v>
      </c>
      <c r="N38" s="23">
        <f t="shared" si="3"/>
        <v>0</v>
      </c>
      <c r="O38" s="23">
        <f t="shared" si="4"/>
        <v>58412930.487344205</v>
      </c>
    </row>
    <row r="39" spans="1:15" x14ac:dyDescent="0.25">
      <c r="A39" s="8" t="s">
        <v>275</v>
      </c>
      <c r="B39" s="12">
        <v>0</v>
      </c>
      <c r="C39" s="12">
        <v>0</v>
      </c>
      <c r="D39" s="23">
        <f t="shared" si="5"/>
        <v>0</v>
      </c>
      <c r="E39" s="23">
        <f t="shared" si="0"/>
        <v>0</v>
      </c>
      <c r="F39" s="23">
        <f t="shared" si="6"/>
        <v>58412930.487344205</v>
      </c>
      <c r="G39" s="23">
        <f t="shared" si="1"/>
        <v>0</v>
      </c>
      <c r="H39" s="23">
        <f t="shared" si="2"/>
        <v>0</v>
      </c>
      <c r="I39" s="23">
        <f t="shared" si="7"/>
        <v>17100000</v>
      </c>
      <c r="J39" s="23">
        <f>I39*'Fund Terms'!$B$16/(1-'Fund Terms'!$B$16)</f>
        <v>4275000</v>
      </c>
      <c r="K39" s="23">
        <f>MIN(C39-G39-H39,MAX(0,J39-SUM($K$5:K38)))</f>
        <v>0</v>
      </c>
      <c r="L39" s="23">
        <f>(C39-G39-H39-K39)*(1-'Fund Terms'!$B$16)</f>
        <v>0</v>
      </c>
      <c r="M39" s="23">
        <f>(C39-G39-H39-K39)*'Fund Terms'!$B$16</f>
        <v>0</v>
      </c>
      <c r="N39" s="23">
        <f t="shared" si="3"/>
        <v>0</v>
      </c>
      <c r="O39" s="23">
        <f t="shared" si="4"/>
        <v>58412930.487344205</v>
      </c>
    </row>
    <row r="40" spans="1:15" x14ac:dyDescent="0.25">
      <c r="A40" s="8" t="s">
        <v>276</v>
      </c>
      <c r="B40" s="12">
        <v>0</v>
      </c>
      <c r="C40" s="12">
        <v>0</v>
      </c>
      <c r="D40" s="23">
        <f t="shared" si="5"/>
        <v>0</v>
      </c>
      <c r="E40" s="23">
        <f t="shared" si="0"/>
        <v>0</v>
      </c>
      <c r="F40" s="23">
        <f t="shared" si="6"/>
        <v>58412930.487344205</v>
      </c>
      <c r="G40" s="23">
        <f t="shared" si="1"/>
        <v>0</v>
      </c>
      <c r="H40" s="23">
        <f t="shared" si="2"/>
        <v>0</v>
      </c>
      <c r="I40" s="23">
        <f t="shared" si="7"/>
        <v>17100000</v>
      </c>
      <c r="J40" s="23">
        <f>I40*'Fund Terms'!$B$16/(1-'Fund Terms'!$B$16)</f>
        <v>4275000</v>
      </c>
      <c r="K40" s="23">
        <f>MIN(C40-G40-H40,MAX(0,J40-SUM($K$5:K39)))</f>
        <v>0</v>
      </c>
      <c r="L40" s="23">
        <f>(C40-G40-H40-K40)*(1-'Fund Terms'!$B$16)</f>
        <v>0</v>
      </c>
      <c r="M40" s="23">
        <f>(C40-G40-H40-K40)*'Fund Terms'!$B$16</f>
        <v>0</v>
      </c>
      <c r="N40" s="23">
        <f t="shared" si="3"/>
        <v>0</v>
      </c>
      <c r="O40" s="23">
        <f t="shared" si="4"/>
        <v>58412930.487344205</v>
      </c>
    </row>
    <row r="41" spans="1:15" x14ac:dyDescent="0.25">
      <c r="A41" s="8" t="s">
        <v>277</v>
      </c>
      <c r="B41" s="12">
        <v>0</v>
      </c>
      <c r="C41" s="12">
        <v>0</v>
      </c>
      <c r="D41" s="23">
        <f t="shared" si="5"/>
        <v>0</v>
      </c>
      <c r="E41" s="23">
        <f t="shared" si="0"/>
        <v>0</v>
      </c>
      <c r="F41" s="23">
        <f t="shared" si="6"/>
        <v>58412930.487344205</v>
      </c>
      <c r="G41" s="23">
        <f t="shared" si="1"/>
        <v>0</v>
      </c>
      <c r="H41" s="23">
        <f t="shared" si="2"/>
        <v>0</v>
      </c>
      <c r="I41" s="23">
        <f t="shared" si="7"/>
        <v>17100000</v>
      </c>
      <c r="J41" s="23">
        <f>I41*'Fund Terms'!$B$16/(1-'Fund Terms'!$B$16)</f>
        <v>4275000</v>
      </c>
      <c r="K41" s="23">
        <f>MIN(C41-G41-H41,MAX(0,J41-SUM($K$5:K40)))</f>
        <v>0</v>
      </c>
      <c r="L41" s="23">
        <f>(C41-G41-H41-K41)*(1-'Fund Terms'!$B$16)</f>
        <v>0</v>
      </c>
      <c r="M41" s="23">
        <f>(C41-G41-H41-K41)*'Fund Terms'!$B$16</f>
        <v>0</v>
      </c>
      <c r="N41" s="23">
        <f t="shared" si="3"/>
        <v>0</v>
      </c>
      <c r="O41" s="23">
        <f t="shared" si="4"/>
        <v>58412930.487344205</v>
      </c>
    </row>
    <row r="42" spans="1:15" x14ac:dyDescent="0.25">
      <c r="A42" s="8" t="s">
        <v>278</v>
      </c>
      <c r="B42" s="12">
        <v>0</v>
      </c>
      <c r="C42" s="12">
        <v>44200000</v>
      </c>
      <c r="D42" s="23">
        <f t="shared" si="5"/>
        <v>0</v>
      </c>
      <c r="E42" s="23">
        <f t="shared" si="0"/>
        <v>0</v>
      </c>
      <c r="F42" s="23">
        <f t="shared" si="6"/>
        <v>58412930.487344205</v>
      </c>
      <c r="G42" s="23">
        <f t="shared" si="1"/>
        <v>0</v>
      </c>
      <c r="H42" s="23">
        <f t="shared" si="2"/>
        <v>44200000</v>
      </c>
      <c r="I42" s="23">
        <f t="shared" si="7"/>
        <v>61300000</v>
      </c>
      <c r="J42" s="23">
        <f>I42*'Fund Terms'!$B$16/(1-'Fund Terms'!$B$16)</f>
        <v>15325000</v>
      </c>
      <c r="K42" s="23">
        <f>MIN(C42-G42-H42,MAX(0,J42-SUM($K$5:K41)))</f>
        <v>0</v>
      </c>
      <c r="L42" s="23">
        <f>(C42-G42-H42-K42)*(1-'Fund Terms'!$B$16)</f>
        <v>0</v>
      </c>
      <c r="M42" s="23">
        <f>(C42-G42-H42-K42)*'Fund Terms'!$B$16</f>
        <v>0</v>
      </c>
      <c r="N42" s="23">
        <f t="shared" si="3"/>
        <v>0</v>
      </c>
      <c r="O42" s="23">
        <f t="shared" si="4"/>
        <v>14212930.487344205</v>
      </c>
    </row>
    <row r="43" spans="1:15" x14ac:dyDescent="0.25">
      <c r="A43" s="8" t="s">
        <v>279</v>
      </c>
      <c r="B43" s="12">
        <v>0</v>
      </c>
      <c r="C43" s="12">
        <v>0</v>
      </c>
      <c r="D43" s="23">
        <f t="shared" si="5"/>
        <v>0</v>
      </c>
      <c r="E43" s="23">
        <f t="shared" si="0"/>
        <v>0</v>
      </c>
      <c r="F43" s="23">
        <f t="shared" si="6"/>
        <v>14212930.487344205</v>
      </c>
      <c r="G43" s="23">
        <f t="shared" si="1"/>
        <v>0</v>
      </c>
      <c r="H43" s="23">
        <f t="shared" si="2"/>
        <v>0</v>
      </c>
      <c r="I43" s="23">
        <f t="shared" si="7"/>
        <v>61300000</v>
      </c>
      <c r="J43" s="23">
        <f>I43*'Fund Terms'!$B$16/(1-'Fund Terms'!$B$16)</f>
        <v>15325000</v>
      </c>
      <c r="K43" s="23">
        <f>MIN(C43-G43-H43,MAX(0,J43-SUM($K$5:K42)))</f>
        <v>0</v>
      </c>
      <c r="L43" s="23">
        <f>(C43-G43-H43-K43)*(1-'Fund Terms'!$B$16)</f>
        <v>0</v>
      </c>
      <c r="M43" s="23">
        <f>(C43-G43-H43-K43)*'Fund Terms'!$B$16</f>
        <v>0</v>
      </c>
      <c r="N43" s="23">
        <f t="shared" si="3"/>
        <v>0</v>
      </c>
      <c r="O43" s="23">
        <f t="shared" si="4"/>
        <v>14212930.487344205</v>
      </c>
    </row>
    <row r="44" spans="1:15" x14ac:dyDescent="0.25">
      <c r="A44" s="8" t="s">
        <v>280</v>
      </c>
      <c r="B44" s="12">
        <v>0</v>
      </c>
      <c r="C44" s="12">
        <v>73600000</v>
      </c>
      <c r="D44" s="23">
        <f t="shared" si="5"/>
        <v>0</v>
      </c>
      <c r="E44" s="23">
        <f t="shared" si="0"/>
        <v>0</v>
      </c>
      <c r="F44" s="23">
        <f t="shared" si="6"/>
        <v>14212930.487344205</v>
      </c>
      <c r="G44" s="23">
        <f t="shared" si="1"/>
        <v>0</v>
      </c>
      <c r="H44" s="23">
        <f t="shared" si="2"/>
        <v>14212930.487344205</v>
      </c>
      <c r="I44" s="23">
        <f t="shared" si="7"/>
        <v>75512930.487344205</v>
      </c>
      <c r="J44" s="23">
        <f>I44*'Fund Terms'!$B$16/(1-'Fund Terms'!$B$16)</f>
        <v>18878232.621836051</v>
      </c>
      <c r="K44" s="23">
        <f>MIN(C44-G44-H44,MAX(0,J44-SUM($K$5:K43)))</f>
        <v>18878232.621836051</v>
      </c>
      <c r="L44" s="23">
        <f>(C44-G44-H44-K44)*(1-'Fund Terms'!$B$16)</f>
        <v>32407069.512655795</v>
      </c>
      <c r="M44" s="23">
        <f>(C44-G44-H44-K44)*'Fund Terms'!$B$16</f>
        <v>8101767.3781639487</v>
      </c>
      <c r="N44" s="23">
        <f t="shared" si="3"/>
        <v>0</v>
      </c>
      <c r="O44" s="23">
        <f t="shared" si="4"/>
        <v>0</v>
      </c>
    </row>
    <row r="45" spans="1:15" x14ac:dyDescent="0.25">
      <c r="A45" s="8" t="s">
        <v>281</v>
      </c>
      <c r="B45" s="12">
        <v>0</v>
      </c>
      <c r="C45" s="12">
        <v>0</v>
      </c>
      <c r="D45" s="23">
        <f t="shared" si="5"/>
        <v>0</v>
      </c>
      <c r="E45" s="23">
        <f t="shared" si="0"/>
        <v>0</v>
      </c>
      <c r="F45" s="23">
        <f t="shared" si="6"/>
        <v>0</v>
      </c>
      <c r="G45" s="23">
        <f t="shared" si="1"/>
        <v>0</v>
      </c>
      <c r="H45" s="23">
        <f t="shared" si="2"/>
        <v>0</v>
      </c>
      <c r="I45" s="23">
        <f t="shared" si="7"/>
        <v>75512930.487344205</v>
      </c>
      <c r="J45" s="23">
        <f>I45*'Fund Terms'!$B$16/(1-'Fund Terms'!$B$16)</f>
        <v>18878232.621836051</v>
      </c>
      <c r="K45" s="23">
        <f>MIN(C45-G45-H45,MAX(0,J45-SUM($K$5:K44)))</f>
        <v>0</v>
      </c>
      <c r="L45" s="23">
        <f>(C45-G45-H45-K45)*(1-'Fund Terms'!$B$16)</f>
        <v>0</v>
      </c>
      <c r="M45" s="23">
        <f>(C45-G45-H45-K45)*'Fund Terms'!$B$16</f>
        <v>0</v>
      </c>
      <c r="N45" s="23">
        <f t="shared" si="3"/>
        <v>0</v>
      </c>
      <c r="O45" s="23">
        <f t="shared" si="4"/>
        <v>0</v>
      </c>
    </row>
    <row r="46" spans="1:15" x14ac:dyDescent="0.25">
      <c r="A46" s="8" t="s">
        <v>282</v>
      </c>
      <c r="B46" s="12">
        <v>0</v>
      </c>
      <c r="C46" s="12">
        <v>61700000</v>
      </c>
      <c r="D46" s="23">
        <f t="shared" si="5"/>
        <v>0</v>
      </c>
      <c r="E46" s="23">
        <f t="shared" si="0"/>
        <v>0</v>
      </c>
      <c r="F46" s="23">
        <f t="shared" si="6"/>
        <v>0</v>
      </c>
      <c r="G46" s="23">
        <f t="shared" si="1"/>
        <v>0</v>
      </c>
      <c r="H46" s="23">
        <f t="shared" si="2"/>
        <v>0</v>
      </c>
      <c r="I46" s="23">
        <f t="shared" si="7"/>
        <v>75512930.487344205</v>
      </c>
      <c r="J46" s="23">
        <f>I46*'Fund Terms'!$B$16/(1-'Fund Terms'!$B$16)</f>
        <v>18878232.621836051</v>
      </c>
      <c r="K46" s="23">
        <f>MIN(C46-G46-H46,MAX(0,J46-SUM($K$5:K45)))</f>
        <v>0</v>
      </c>
      <c r="L46" s="23">
        <f>(C46-G46-H46-K46)*(1-'Fund Terms'!$B$16)</f>
        <v>49360000</v>
      </c>
      <c r="M46" s="23">
        <f>(C46-G46-H46-K46)*'Fund Terms'!$B$16</f>
        <v>12340000</v>
      </c>
      <c r="N46" s="23">
        <f t="shared" si="3"/>
        <v>0</v>
      </c>
      <c r="O46" s="23">
        <f t="shared" si="4"/>
        <v>0</v>
      </c>
    </row>
    <row r="47" spans="1:15" x14ac:dyDescent="0.25">
      <c r="A47" s="8" t="s">
        <v>283</v>
      </c>
      <c r="B47" s="12">
        <v>0</v>
      </c>
      <c r="C47" s="12">
        <v>0</v>
      </c>
      <c r="D47" s="23">
        <f t="shared" si="5"/>
        <v>0</v>
      </c>
      <c r="E47" s="23">
        <f t="shared" si="0"/>
        <v>0</v>
      </c>
      <c r="F47" s="23">
        <f t="shared" si="6"/>
        <v>0</v>
      </c>
      <c r="G47" s="23">
        <f t="shared" si="1"/>
        <v>0</v>
      </c>
      <c r="H47" s="23">
        <f t="shared" si="2"/>
        <v>0</v>
      </c>
      <c r="I47" s="23">
        <f t="shared" si="7"/>
        <v>75512930.487344205</v>
      </c>
      <c r="J47" s="23">
        <f>I47*'Fund Terms'!$B$16/(1-'Fund Terms'!$B$16)</f>
        <v>18878232.621836051</v>
      </c>
      <c r="K47" s="23">
        <f>MIN(C47-G47-H47,MAX(0,J47-SUM($K$5:K46)))</f>
        <v>0</v>
      </c>
      <c r="L47" s="23">
        <f>(C47-G47-H47-K47)*(1-'Fund Terms'!$B$16)</f>
        <v>0</v>
      </c>
      <c r="M47" s="23">
        <f>(C47-G47-H47-K47)*'Fund Terms'!$B$16</f>
        <v>0</v>
      </c>
      <c r="N47" s="23">
        <f t="shared" si="3"/>
        <v>0</v>
      </c>
      <c r="O47" s="23">
        <f t="shared" si="4"/>
        <v>0</v>
      </c>
    </row>
    <row r="48" spans="1:15" x14ac:dyDescent="0.25">
      <c r="A48" s="8" t="s">
        <v>284</v>
      </c>
      <c r="B48" s="12">
        <v>0</v>
      </c>
      <c r="C48" s="12">
        <v>0</v>
      </c>
      <c r="D48" s="23">
        <f t="shared" si="5"/>
        <v>0</v>
      </c>
      <c r="E48" s="23">
        <f t="shared" si="0"/>
        <v>0</v>
      </c>
      <c r="F48" s="23">
        <f t="shared" si="6"/>
        <v>0</v>
      </c>
      <c r="G48" s="23">
        <f t="shared" si="1"/>
        <v>0</v>
      </c>
      <c r="H48" s="23">
        <f t="shared" si="2"/>
        <v>0</v>
      </c>
      <c r="I48" s="23">
        <f t="shared" si="7"/>
        <v>75512930.487344205</v>
      </c>
      <c r="J48" s="23">
        <f>I48*'Fund Terms'!$B$16/(1-'Fund Terms'!$B$16)</f>
        <v>18878232.621836051</v>
      </c>
      <c r="K48" s="23">
        <f>MIN(C48-G48-H48,MAX(0,J48-SUM($K$5:K47)))</f>
        <v>0</v>
      </c>
      <c r="L48" s="23">
        <f>(C48-G48-H48-K48)*(1-'Fund Terms'!$B$16)</f>
        <v>0</v>
      </c>
      <c r="M48" s="23">
        <f>(C48-G48-H48-K48)*'Fund Terms'!$B$16</f>
        <v>0</v>
      </c>
      <c r="N48" s="23">
        <f t="shared" si="3"/>
        <v>0</v>
      </c>
      <c r="O48" s="23">
        <f t="shared" si="4"/>
        <v>0</v>
      </c>
    </row>
    <row r="49" spans="1:15" x14ac:dyDescent="0.25">
      <c r="A49" s="8" t="s">
        <v>285</v>
      </c>
      <c r="B49" s="12">
        <v>0</v>
      </c>
      <c r="C49" s="12">
        <v>0</v>
      </c>
      <c r="D49" s="23">
        <f t="shared" si="5"/>
        <v>0</v>
      </c>
      <c r="E49" s="23">
        <f t="shared" si="0"/>
        <v>0</v>
      </c>
      <c r="F49" s="23">
        <f t="shared" si="6"/>
        <v>0</v>
      </c>
      <c r="G49" s="23">
        <f t="shared" si="1"/>
        <v>0</v>
      </c>
      <c r="H49" s="23">
        <f t="shared" si="2"/>
        <v>0</v>
      </c>
      <c r="I49" s="23">
        <f t="shared" si="7"/>
        <v>75512930.487344205</v>
      </c>
      <c r="J49" s="23">
        <f>I49*'Fund Terms'!$B$16/(1-'Fund Terms'!$B$16)</f>
        <v>18878232.621836051</v>
      </c>
      <c r="K49" s="23">
        <f>MIN(C49-G49-H49,MAX(0,J49-SUM($K$5:K48)))</f>
        <v>0</v>
      </c>
      <c r="L49" s="23">
        <f>(C49-G49-H49-K49)*(1-'Fund Terms'!$B$16)</f>
        <v>0</v>
      </c>
      <c r="M49" s="23">
        <f>(C49-G49-H49-K49)*'Fund Terms'!$B$16</f>
        <v>0</v>
      </c>
      <c r="N49" s="23">
        <f t="shared" si="3"/>
        <v>0</v>
      </c>
      <c r="O49" s="23">
        <f t="shared" si="4"/>
        <v>0</v>
      </c>
    </row>
    <row r="50" spans="1:15" x14ac:dyDescent="0.25">
      <c r="A50" s="8" t="s">
        <v>286</v>
      </c>
      <c r="B50" s="12">
        <v>0</v>
      </c>
      <c r="C50" s="12">
        <v>2467277.7000000002</v>
      </c>
      <c r="D50" s="23">
        <f t="shared" si="5"/>
        <v>0</v>
      </c>
      <c r="E50" s="23">
        <f t="shared" si="0"/>
        <v>0</v>
      </c>
      <c r="F50" s="23">
        <f t="shared" si="6"/>
        <v>0</v>
      </c>
      <c r="G50" s="23">
        <f t="shared" si="1"/>
        <v>0</v>
      </c>
      <c r="H50" s="23">
        <f t="shared" si="2"/>
        <v>0</v>
      </c>
      <c r="I50" s="23">
        <f t="shared" si="7"/>
        <v>75512930.487344205</v>
      </c>
      <c r="J50" s="23">
        <f>I50*'Fund Terms'!$B$16/(1-'Fund Terms'!$B$16)</f>
        <v>18878232.621836051</v>
      </c>
      <c r="K50" s="23">
        <f>MIN(C50-G50-H50,MAX(0,J50-SUM($K$5:K49)))</f>
        <v>0</v>
      </c>
      <c r="L50" s="23">
        <f>(C50-G50-H50-K50)*(1-'Fund Terms'!$B$16)</f>
        <v>1973822.1600000001</v>
      </c>
      <c r="M50" s="23">
        <f>(C50-G50-H50-K50)*'Fund Terms'!$B$16</f>
        <v>493455.54000000004</v>
      </c>
      <c r="N50" s="23">
        <f t="shared" si="3"/>
        <v>0</v>
      </c>
      <c r="O50" s="23">
        <f t="shared" si="4"/>
        <v>0</v>
      </c>
    </row>
    <row r="51" spans="1:15" x14ac:dyDescent="0.25">
      <c r="A51" s="7" t="s">
        <v>140</v>
      </c>
      <c r="B51" s="16">
        <f>SUM(B5:B50)</f>
        <v>213300000</v>
      </c>
      <c r="C51" s="16">
        <f>SUM(C5:C50)</f>
        <v>412367277.69999999</v>
      </c>
      <c r="G51" s="16">
        <f>SUM(G5:G50)</f>
        <v>213300000</v>
      </c>
      <c r="H51" s="16">
        <f>SUM(H5:H50)</f>
        <v>75512930.487344205</v>
      </c>
      <c r="K51" s="16">
        <f>SUM(K5:K50)</f>
        <v>18878232.621836051</v>
      </c>
      <c r="L51" s="16">
        <f>SUM(L5:L50)</f>
        <v>83740891.672655791</v>
      </c>
      <c r="M51" s="16">
        <f>SUM(M5:M50)</f>
        <v>20935222.918163948</v>
      </c>
    </row>
    <row r="53" spans="1:15" x14ac:dyDescent="0.25">
      <c r="A53" s="7" t="s">
        <v>478</v>
      </c>
      <c r="G53" s="16">
        <f>G51+H51+L51</f>
        <v>372553822.15999997</v>
      </c>
    </row>
    <row r="54" spans="1:15" x14ac:dyDescent="0.25">
      <c r="A54" s="7" t="s">
        <v>479</v>
      </c>
      <c r="G54" s="16">
        <f>K51+M51</f>
        <v>39813455.539999999</v>
      </c>
    </row>
    <row r="55" spans="1:15" x14ac:dyDescent="0.25">
      <c r="A55" s="7" t="s">
        <v>480</v>
      </c>
      <c r="G55" s="21">
        <f>G53+G54-C51</f>
        <v>0</v>
      </c>
    </row>
    <row r="57" spans="1:15" x14ac:dyDescent="0.25">
      <c r="A57" s="6" t="s">
        <v>481</v>
      </c>
    </row>
    <row r="58" spans="1:15" x14ac:dyDescent="0.25">
      <c r="A58" s="8" t="s">
        <v>482</v>
      </c>
      <c r="G58" s="23">
        <f>C51-B51</f>
        <v>199067277.69999999</v>
      </c>
    </row>
    <row r="59" spans="1:15" x14ac:dyDescent="0.25">
      <c r="A59" s="8" t="s">
        <v>483</v>
      </c>
      <c r="G59" s="23">
        <f>G58*'Fund Terms'!$B$16</f>
        <v>39813455.539999999</v>
      </c>
    </row>
    <row r="60" spans="1:15" x14ac:dyDescent="0.25">
      <c r="A60" s="8" t="s">
        <v>484</v>
      </c>
      <c r="G60" s="23">
        <f>G54</f>
        <v>39813455.539999999</v>
      </c>
    </row>
    <row r="61" spans="1:15" x14ac:dyDescent="0.25">
      <c r="A61" s="7" t="s">
        <v>485</v>
      </c>
      <c r="G61" s="16">
        <f>MAX(0,G60-G59)</f>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1"/>
  <sheetViews>
    <sheetView workbookViewId="0"/>
  </sheetViews>
  <sheetFormatPr defaultRowHeight="15" x14ac:dyDescent="0.25"/>
  <cols>
    <col min="1" max="1" width="11" customWidth="1"/>
    <col min="2" max="4" width="20" customWidth="1"/>
    <col min="5" max="5" width="8" customWidth="1"/>
    <col min="6" max="6" width="44" customWidth="1"/>
    <col min="7" max="7" width="20" customWidth="1"/>
  </cols>
  <sheetData>
    <row r="1" spans="1:7" ht="18" customHeight="1" x14ac:dyDescent="0.25">
      <c r="A1" s="9" t="s">
        <v>486</v>
      </c>
    </row>
    <row r="4" spans="1:7" x14ac:dyDescent="0.25">
      <c r="A4" s="5" t="s">
        <v>225</v>
      </c>
      <c r="B4" s="5" t="s">
        <v>465</v>
      </c>
      <c r="C4" s="5" t="s">
        <v>425</v>
      </c>
      <c r="D4" s="5" t="s">
        <v>487</v>
      </c>
      <c r="E4" s="5"/>
      <c r="F4" s="5" t="s">
        <v>488</v>
      </c>
      <c r="G4" s="5" t="s">
        <v>90</v>
      </c>
    </row>
    <row r="5" spans="1:7" x14ac:dyDescent="0.25">
      <c r="A5" s="8" t="s">
        <v>230</v>
      </c>
      <c r="B5" s="12">
        <v>3100000</v>
      </c>
      <c r="C5" s="12">
        <v>0</v>
      </c>
      <c r="D5" s="23">
        <f t="shared" ref="D5:D50" si="0">C5-B5</f>
        <v>-3100000</v>
      </c>
      <c r="F5" s="7" t="s">
        <v>489</v>
      </c>
      <c r="G5" s="23">
        <f>SUM(B5:B50)</f>
        <v>213300000</v>
      </c>
    </row>
    <row r="6" spans="1:7" x14ac:dyDescent="0.25">
      <c r="A6" s="8" t="s">
        <v>235</v>
      </c>
      <c r="B6" s="12">
        <v>42700000</v>
      </c>
      <c r="C6" s="12">
        <v>0</v>
      </c>
      <c r="D6" s="23">
        <f t="shared" si="0"/>
        <v>-42700000</v>
      </c>
      <c r="F6" s="7" t="s">
        <v>490</v>
      </c>
      <c r="G6" s="23">
        <f>SUM(C5:C50)</f>
        <v>412367277.69999999</v>
      </c>
    </row>
    <row r="7" spans="1:7" x14ac:dyDescent="0.25">
      <c r="A7" s="8" t="s">
        <v>237</v>
      </c>
      <c r="B7" s="12">
        <v>700000</v>
      </c>
      <c r="C7" s="12">
        <v>0</v>
      </c>
      <c r="D7" s="23">
        <f t="shared" si="0"/>
        <v>-700000</v>
      </c>
      <c r="F7" s="7" t="s">
        <v>491</v>
      </c>
      <c r="G7" s="23">
        <f>D51</f>
        <v>2.8870999813079834E-8</v>
      </c>
    </row>
    <row r="8" spans="1:7" x14ac:dyDescent="0.25">
      <c r="A8" s="8" t="s">
        <v>238</v>
      </c>
      <c r="B8" s="12">
        <v>1000000</v>
      </c>
      <c r="C8" s="12">
        <v>0</v>
      </c>
      <c r="D8" s="23">
        <f t="shared" si="0"/>
        <v>-1000000</v>
      </c>
      <c r="F8" s="7" t="s">
        <v>492</v>
      </c>
      <c r="G8" s="31">
        <f>G6/G5</f>
        <v>1.9332736882325363</v>
      </c>
    </row>
    <row r="9" spans="1:7" x14ac:dyDescent="0.25">
      <c r="A9" s="8" t="s">
        <v>241</v>
      </c>
      <c r="B9" s="12">
        <v>31000000.010000002</v>
      </c>
      <c r="C9" s="12">
        <v>0</v>
      </c>
      <c r="D9" s="23">
        <f t="shared" si="0"/>
        <v>-31000000.010000002</v>
      </c>
      <c r="F9" s="7" t="s">
        <v>493</v>
      </c>
      <c r="G9" s="31">
        <f>G7/G5</f>
        <v>1.35353960680168E-16</v>
      </c>
    </row>
    <row r="10" spans="1:7" x14ac:dyDescent="0.25">
      <c r="A10" s="8" t="s">
        <v>242</v>
      </c>
      <c r="B10" s="12">
        <v>1399999.99</v>
      </c>
      <c r="C10" s="12">
        <v>0</v>
      </c>
      <c r="D10" s="23">
        <f t="shared" si="0"/>
        <v>-1399999.99</v>
      </c>
      <c r="F10" s="7" t="s">
        <v>494</v>
      </c>
      <c r="G10" s="31">
        <f>G8+G9</f>
        <v>1.9332736882325365</v>
      </c>
    </row>
    <row r="11" spans="1:7" x14ac:dyDescent="0.25">
      <c r="A11" s="8" t="s">
        <v>243</v>
      </c>
      <c r="B11" s="12">
        <v>1400000</v>
      </c>
      <c r="C11" s="12">
        <v>0</v>
      </c>
      <c r="D11" s="23">
        <f t="shared" si="0"/>
        <v>-1400000</v>
      </c>
      <c r="F11" s="7" t="s">
        <v>386</v>
      </c>
      <c r="G11" s="27">
        <f>IRR(D5:D51,0.03)</f>
        <v>2.7869641065619843E-2</v>
      </c>
    </row>
    <row r="12" spans="1:7" x14ac:dyDescent="0.25">
      <c r="A12" s="8" t="s">
        <v>244</v>
      </c>
      <c r="B12" s="12">
        <v>26300000</v>
      </c>
      <c r="C12" s="12">
        <v>0</v>
      </c>
      <c r="D12" s="23">
        <f t="shared" si="0"/>
        <v>-26300000</v>
      </c>
      <c r="F12" s="7" t="s">
        <v>495</v>
      </c>
      <c r="G12" s="15">
        <f>(1+G11)^4-1</f>
        <v>0.11622605619445459</v>
      </c>
    </row>
    <row r="13" spans="1:7" x14ac:dyDescent="0.25">
      <c r="A13" s="8" t="s">
        <v>245</v>
      </c>
      <c r="B13" s="12">
        <v>9400000</v>
      </c>
      <c r="C13" s="12">
        <v>0</v>
      </c>
      <c r="D13" s="23">
        <f t="shared" si="0"/>
        <v>-9400000</v>
      </c>
      <c r="F13" s="7" t="s">
        <v>92</v>
      </c>
      <c r="G13" s="23">
        <f>'Fund Terms'!B5</f>
        <v>250000000</v>
      </c>
    </row>
    <row r="14" spans="1:7" x14ac:dyDescent="0.25">
      <c r="A14" s="8" t="s">
        <v>247</v>
      </c>
      <c r="B14" s="12">
        <v>13400000</v>
      </c>
      <c r="C14" s="12">
        <v>0</v>
      </c>
      <c r="D14" s="23">
        <f t="shared" si="0"/>
        <v>-13400000</v>
      </c>
      <c r="F14" s="7" t="s">
        <v>496</v>
      </c>
      <c r="G14" s="15">
        <f>G5/G13</f>
        <v>0.85319999999999996</v>
      </c>
    </row>
    <row r="15" spans="1:7" x14ac:dyDescent="0.25">
      <c r="A15" s="8" t="s">
        <v>248</v>
      </c>
      <c r="B15" s="12">
        <v>29300000</v>
      </c>
      <c r="C15" s="12">
        <v>0</v>
      </c>
      <c r="D15" s="23">
        <f t="shared" si="0"/>
        <v>-29300000</v>
      </c>
    </row>
    <row r="16" spans="1:7" x14ac:dyDescent="0.25">
      <c r="A16" s="8" t="s">
        <v>249</v>
      </c>
      <c r="B16" s="12">
        <v>2800000</v>
      </c>
      <c r="C16" s="12">
        <v>0</v>
      </c>
      <c r="D16" s="23">
        <f t="shared" si="0"/>
        <v>-2800000</v>
      </c>
    </row>
    <row r="17" spans="1:4" x14ac:dyDescent="0.25">
      <c r="A17" s="8" t="s">
        <v>250</v>
      </c>
      <c r="B17" s="12">
        <v>20700000</v>
      </c>
      <c r="C17" s="12">
        <v>0</v>
      </c>
      <c r="D17" s="23">
        <f t="shared" si="0"/>
        <v>-20700000</v>
      </c>
    </row>
    <row r="18" spans="1:4" x14ac:dyDescent="0.25">
      <c r="A18" s="8" t="s">
        <v>251</v>
      </c>
      <c r="B18" s="12">
        <v>7300000</v>
      </c>
      <c r="C18" s="12">
        <v>0</v>
      </c>
      <c r="D18" s="23">
        <f t="shared" si="0"/>
        <v>-7300000</v>
      </c>
    </row>
    <row r="19" spans="1:4" x14ac:dyDescent="0.25">
      <c r="A19" s="8" t="s">
        <v>253</v>
      </c>
      <c r="B19" s="12">
        <v>1400000</v>
      </c>
      <c r="C19" s="12">
        <v>0</v>
      </c>
      <c r="D19" s="23">
        <f t="shared" si="0"/>
        <v>-1400000</v>
      </c>
    </row>
    <row r="20" spans="1:4" x14ac:dyDescent="0.25">
      <c r="A20" s="8" t="s">
        <v>254</v>
      </c>
      <c r="B20" s="12">
        <v>1400000</v>
      </c>
      <c r="C20" s="12">
        <v>0</v>
      </c>
      <c r="D20" s="23">
        <f t="shared" si="0"/>
        <v>-1400000</v>
      </c>
    </row>
    <row r="21" spans="1:4" x14ac:dyDescent="0.25">
      <c r="A21" s="8" t="s">
        <v>255</v>
      </c>
      <c r="B21" s="12">
        <v>500000</v>
      </c>
      <c r="C21" s="12">
        <v>0</v>
      </c>
      <c r="D21" s="23">
        <f t="shared" si="0"/>
        <v>-500000</v>
      </c>
    </row>
    <row r="22" spans="1:4" x14ac:dyDescent="0.25">
      <c r="A22" s="8" t="s">
        <v>256</v>
      </c>
      <c r="B22" s="12">
        <v>6400000</v>
      </c>
      <c r="C22" s="12">
        <v>0</v>
      </c>
      <c r="D22" s="23">
        <f t="shared" si="0"/>
        <v>-6400000</v>
      </c>
    </row>
    <row r="23" spans="1:4" x14ac:dyDescent="0.25">
      <c r="A23" s="8" t="s">
        <v>257</v>
      </c>
      <c r="B23" s="12">
        <v>5400000</v>
      </c>
      <c r="C23" s="12">
        <v>0</v>
      </c>
      <c r="D23" s="23">
        <f t="shared" si="0"/>
        <v>-5400000</v>
      </c>
    </row>
    <row r="24" spans="1:4" x14ac:dyDescent="0.25">
      <c r="A24" s="8" t="s">
        <v>258</v>
      </c>
      <c r="B24" s="12">
        <v>1300000</v>
      </c>
      <c r="C24" s="12">
        <v>0</v>
      </c>
      <c r="D24" s="23">
        <f t="shared" si="0"/>
        <v>-1300000</v>
      </c>
    </row>
    <row r="25" spans="1:4" x14ac:dyDescent="0.25">
      <c r="A25" s="8" t="s">
        <v>259</v>
      </c>
      <c r="B25" s="12">
        <v>600000</v>
      </c>
      <c r="C25" s="12">
        <v>0</v>
      </c>
      <c r="D25" s="23">
        <f t="shared" si="0"/>
        <v>-600000</v>
      </c>
    </row>
    <row r="26" spans="1:4" x14ac:dyDescent="0.25">
      <c r="A26" s="8" t="s">
        <v>260</v>
      </c>
      <c r="B26" s="12">
        <v>1400000</v>
      </c>
      <c r="C26" s="12">
        <v>0</v>
      </c>
      <c r="D26" s="23">
        <f t="shared" si="0"/>
        <v>-1400000</v>
      </c>
    </row>
    <row r="27" spans="1:4" x14ac:dyDescent="0.25">
      <c r="A27" s="8" t="s">
        <v>261</v>
      </c>
      <c r="B27" s="12">
        <v>800000</v>
      </c>
      <c r="C27" s="12">
        <v>115200000</v>
      </c>
      <c r="D27" s="23">
        <f t="shared" si="0"/>
        <v>114400000</v>
      </c>
    </row>
    <row r="28" spans="1:4" x14ac:dyDescent="0.25">
      <c r="A28" s="8" t="s">
        <v>264</v>
      </c>
      <c r="B28" s="12">
        <v>0</v>
      </c>
      <c r="C28" s="12">
        <v>0</v>
      </c>
      <c r="D28" s="23">
        <f t="shared" si="0"/>
        <v>0</v>
      </c>
    </row>
    <row r="29" spans="1:4" x14ac:dyDescent="0.25">
      <c r="A29" s="8" t="s">
        <v>265</v>
      </c>
      <c r="B29" s="12">
        <v>0</v>
      </c>
      <c r="C29" s="12">
        <v>0</v>
      </c>
      <c r="D29" s="23">
        <f t="shared" si="0"/>
        <v>0</v>
      </c>
    </row>
    <row r="30" spans="1:4" x14ac:dyDescent="0.25">
      <c r="A30" s="8" t="s">
        <v>266</v>
      </c>
      <c r="B30" s="12">
        <v>1300000</v>
      </c>
      <c r="C30" s="12">
        <v>26000000</v>
      </c>
      <c r="D30" s="23">
        <f t="shared" si="0"/>
        <v>24700000</v>
      </c>
    </row>
    <row r="31" spans="1:4" x14ac:dyDescent="0.25">
      <c r="A31" s="8" t="s">
        <v>267</v>
      </c>
      <c r="B31" s="12">
        <v>0</v>
      </c>
      <c r="C31" s="12">
        <v>0</v>
      </c>
      <c r="D31" s="23">
        <f t="shared" si="0"/>
        <v>0</v>
      </c>
    </row>
    <row r="32" spans="1:4" x14ac:dyDescent="0.25">
      <c r="A32" s="8" t="s">
        <v>268</v>
      </c>
      <c r="B32" s="12">
        <v>0</v>
      </c>
      <c r="C32" s="12">
        <v>0</v>
      </c>
      <c r="D32" s="23">
        <f t="shared" si="0"/>
        <v>0</v>
      </c>
    </row>
    <row r="33" spans="1:4" x14ac:dyDescent="0.25">
      <c r="A33" s="8" t="s">
        <v>269</v>
      </c>
      <c r="B33" s="12">
        <v>0</v>
      </c>
      <c r="C33" s="12">
        <v>0</v>
      </c>
      <c r="D33" s="23">
        <f t="shared" si="0"/>
        <v>0</v>
      </c>
    </row>
    <row r="34" spans="1:4" x14ac:dyDescent="0.25">
      <c r="A34" s="8" t="s">
        <v>270</v>
      </c>
      <c r="B34" s="12">
        <v>0</v>
      </c>
      <c r="C34" s="12">
        <v>0</v>
      </c>
      <c r="D34" s="23">
        <f t="shared" si="0"/>
        <v>0</v>
      </c>
    </row>
    <row r="35" spans="1:4" x14ac:dyDescent="0.25">
      <c r="A35" s="8" t="s">
        <v>271</v>
      </c>
      <c r="B35" s="12">
        <v>500000</v>
      </c>
      <c r="C35" s="12">
        <v>0</v>
      </c>
      <c r="D35" s="23">
        <f t="shared" si="0"/>
        <v>-500000</v>
      </c>
    </row>
    <row r="36" spans="1:4" x14ac:dyDescent="0.25">
      <c r="A36" s="8" t="s">
        <v>272</v>
      </c>
      <c r="B36" s="12">
        <v>700000</v>
      </c>
      <c r="C36" s="12">
        <v>0</v>
      </c>
      <c r="D36" s="23">
        <f t="shared" si="0"/>
        <v>-700000</v>
      </c>
    </row>
    <row r="37" spans="1:4" x14ac:dyDescent="0.25">
      <c r="A37" s="8" t="s">
        <v>273</v>
      </c>
      <c r="B37" s="12">
        <v>700000</v>
      </c>
      <c r="C37" s="12">
        <v>0</v>
      </c>
      <c r="D37" s="23">
        <f t="shared" si="0"/>
        <v>-700000</v>
      </c>
    </row>
    <row r="38" spans="1:4" x14ac:dyDescent="0.25">
      <c r="A38" s="8" t="s">
        <v>274</v>
      </c>
      <c r="B38" s="12">
        <v>400000</v>
      </c>
      <c r="C38" s="12">
        <v>89200000</v>
      </c>
      <c r="D38" s="23">
        <f t="shared" si="0"/>
        <v>88800000</v>
      </c>
    </row>
    <row r="39" spans="1:4" x14ac:dyDescent="0.25">
      <c r="A39" s="8" t="s">
        <v>275</v>
      </c>
      <c r="B39" s="12">
        <v>0</v>
      </c>
      <c r="C39" s="12">
        <v>0</v>
      </c>
      <c r="D39" s="23">
        <f t="shared" si="0"/>
        <v>0</v>
      </c>
    </row>
    <row r="40" spans="1:4" x14ac:dyDescent="0.25">
      <c r="A40" s="8" t="s">
        <v>276</v>
      </c>
      <c r="B40" s="12">
        <v>0</v>
      </c>
      <c r="C40" s="12">
        <v>0</v>
      </c>
      <c r="D40" s="23">
        <f t="shared" si="0"/>
        <v>0</v>
      </c>
    </row>
    <row r="41" spans="1:4" x14ac:dyDescent="0.25">
      <c r="A41" s="8" t="s">
        <v>277</v>
      </c>
      <c r="B41" s="12">
        <v>0</v>
      </c>
      <c r="C41" s="12">
        <v>0</v>
      </c>
      <c r="D41" s="23">
        <f t="shared" si="0"/>
        <v>0</v>
      </c>
    </row>
    <row r="42" spans="1:4" x14ac:dyDescent="0.25">
      <c r="A42" s="8" t="s">
        <v>278</v>
      </c>
      <c r="B42" s="12">
        <v>0</v>
      </c>
      <c r="C42" s="12">
        <v>44200000</v>
      </c>
      <c r="D42" s="23">
        <f t="shared" si="0"/>
        <v>44200000</v>
      </c>
    </row>
    <row r="43" spans="1:4" x14ac:dyDescent="0.25">
      <c r="A43" s="8" t="s">
        <v>279</v>
      </c>
      <c r="B43" s="12">
        <v>0</v>
      </c>
      <c r="C43" s="12">
        <v>0</v>
      </c>
      <c r="D43" s="23">
        <f t="shared" si="0"/>
        <v>0</v>
      </c>
    </row>
    <row r="44" spans="1:4" x14ac:dyDescent="0.25">
      <c r="A44" s="8" t="s">
        <v>280</v>
      </c>
      <c r="B44" s="12">
        <v>0</v>
      </c>
      <c r="C44" s="12">
        <v>73600000</v>
      </c>
      <c r="D44" s="23">
        <f t="shared" si="0"/>
        <v>73600000</v>
      </c>
    </row>
    <row r="45" spans="1:4" x14ac:dyDescent="0.25">
      <c r="A45" s="8" t="s">
        <v>281</v>
      </c>
      <c r="B45" s="12">
        <v>0</v>
      </c>
      <c r="C45" s="12">
        <v>0</v>
      </c>
      <c r="D45" s="23">
        <f t="shared" si="0"/>
        <v>0</v>
      </c>
    </row>
    <row r="46" spans="1:4" x14ac:dyDescent="0.25">
      <c r="A46" s="8" t="s">
        <v>282</v>
      </c>
      <c r="B46" s="12">
        <v>0</v>
      </c>
      <c r="C46" s="12">
        <v>61700000</v>
      </c>
      <c r="D46" s="23">
        <f t="shared" si="0"/>
        <v>61700000</v>
      </c>
    </row>
    <row r="47" spans="1:4" x14ac:dyDescent="0.25">
      <c r="A47" s="8" t="s">
        <v>283</v>
      </c>
      <c r="B47" s="12">
        <v>0</v>
      </c>
      <c r="C47" s="12">
        <v>0</v>
      </c>
      <c r="D47" s="23">
        <f t="shared" si="0"/>
        <v>0</v>
      </c>
    </row>
    <row r="48" spans="1:4" x14ac:dyDescent="0.25">
      <c r="A48" s="8" t="s">
        <v>284</v>
      </c>
      <c r="B48" s="12">
        <v>0</v>
      </c>
      <c r="C48" s="12">
        <v>0</v>
      </c>
      <c r="D48" s="23">
        <f t="shared" si="0"/>
        <v>0</v>
      </c>
    </row>
    <row r="49" spans="1:4" x14ac:dyDescent="0.25">
      <c r="A49" s="8" t="s">
        <v>285</v>
      </c>
      <c r="B49" s="12">
        <v>0</v>
      </c>
      <c r="C49" s="12">
        <v>0</v>
      </c>
      <c r="D49" s="23">
        <f t="shared" si="0"/>
        <v>0</v>
      </c>
    </row>
    <row r="50" spans="1:4" x14ac:dyDescent="0.25">
      <c r="A50" s="8" t="s">
        <v>286</v>
      </c>
      <c r="B50" s="12">
        <v>0</v>
      </c>
      <c r="C50" s="12">
        <v>2467277.7000000002</v>
      </c>
      <c r="D50" s="23">
        <f t="shared" si="0"/>
        <v>2467277.7000000002</v>
      </c>
    </row>
    <row r="51" spans="1:4" x14ac:dyDescent="0.25">
      <c r="A51" s="7" t="s">
        <v>491</v>
      </c>
      <c r="D51" s="25">
        <f>'Balance Sheet'!M21</f>
        <v>2.8870999813079834E-8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50"/>
  <sheetViews>
    <sheetView workbookViewId="0"/>
  </sheetViews>
  <sheetFormatPr defaultRowHeight="15" x14ac:dyDescent="0.25"/>
  <cols>
    <col min="1" max="1" width="11" customWidth="1"/>
    <col min="2" max="4" width="20" customWidth="1"/>
    <col min="5" max="5" width="6" customWidth="1"/>
    <col min="6" max="6" width="44" customWidth="1"/>
    <col min="7" max="7" width="20" customWidth="1"/>
  </cols>
  <sheetData>
    <row r="1" spans="1:7" ht="18" customHeight="1" x14ac:dyDescent="0.25">
      <c r="A1" s="9" t="s">
        <v>58</v>
      </c>
    </row>
    <row r="2" spans="1:7" x14ac:dyDescent="0.25">
      <c r="A2" s="10" t="s">
        <v>497</v>
      </c>
    </row>
    <row r="4" spans="1:7" x14ac:dyDescent="0.25">
      <c r="A4" s="5" t="s">
        <v>225</v>
      </c>
      <c r="B4" s="5" t="s">
        <v>498</v>
      </c>
      <c r="C4" s="5" t="s">
        <v>499</v>
      </c>
      <c r="D4" s="5" t="s">
        <v>500</v>
      </c>
      <c r="E4" s="5"/>
      <c r="F4" s="5" t="s">
        <v>501</v>
      </c>
      <c r="G4" s="5" t="s">
        <v>417</v>
      </c>
    </row>
    <row r="5" spans="1:7" x14ac:dyDescent="0.25">
      <c r="A5" s="8" t="s">
        <v>230</v>
      </c>
      <c r="B5" s="23">
        <f>SUMIFS('Journal Entries'!$G$5:$G$785,'Journal Entries'!$D$5:$D$785,"1000",'Journal Entries'!$C$5:$C$785,"2019Q1")</f>
        <v>3100000</v>
      </c>
      <c r="C5" s="23">
        <f>-SUMIFS('Journal Entries'!$H$5:$H$785,'Journal Entries'!$D$5:$D$785,"1000",'Journal Entries'!$C$5:$C$785,"2019Q1")</f>
        <v>-2802000</v>
      </c>
      <c r="D5" s="23">
        <f>B5+C5</f>
        <v>298000</v>
      </c>
      <c r="F5" s="8" t="s">
        <v>502</v>
      </c>
      <c r="G5" s="25">
        <f>D50</f>
        <v>0</v>
      </c>
    </row>
    <row r="6" spans="1:7" x14ac:dyDescent="0.25">
      <c r="A6" s="8" t="s">
        <v>235</v>
      </c>
      <c r="B6" s="23">
        <f>SUMIFS('Journal Entries'!$G$5:$G$785,'Journal Entries'!$D$5:$D$785,"1000",'Journal Entries'!$C$5:$C$785,"2019Q2")</f>
        <v>42700000</v>
      </c>
      <c r="C6" s="23">
        <f>-SUMIFS('Journal Entries'!$H$5:$H$785,'Journal Entries'!$D$5:$D$785,"1000",'Journal Entries'!$C$5:$C$785,"2019Q2")</f>
        <v>-42702000</v>
      </c>
      <c r="D6" s="23">
        <f t="shared" ref="D6:D50" si="0">D5+B6+C6</f>
        <v>296000</v>
      </c>
      <c r="F6" s="8" t="s">
        <v>503</v>
      </c>
      <c r="G6" s="12">
        <v>0</v>
      </c>
    </row>
    <row r="7" spans="1:7" x14ac:dyDescent="0.25">
      <c r="A7" s="8" t="s">
        <v>237</v>
      </c>
      <c r="B7" s="23">
        <f>SUMIFS('Journal Entries'!$G$5:$G$785,'Journal Entries'!$D$5:$D$785,"1000",'Journal Entries'!$C$5:$C$785,"2019Q3")</f>
        <v>700000</v>
      </c>
      <c r="C7" s="23">
        <f>-SUMIFS('Journal Entries'!$H$5:$H$785,'Journal Entries'!$D$5:$D$785,"1000",'Journal Entries'!$C$5:$C$785,"2019Q3")</f>
        <v>-702000</v>
      </c>
      <c r="D7" s="23">
        <f t="shared" si="0"/>
        <v>294000</v>
      </c>
      <c r="F7" s="8" t="s">
        <v>504</v>
      </c>
      <c r="G7" s="12">
        <v>0</v>
      </c>
    </row>
    <row r="8" spans="1:7" x14ac:dyDescent="0.25">
      <c r="A8" s="8" t="s">
        <v>238</v>
      </c>
      <c r="B8" s="23">
        <f>SUMIFS('Journal Entries'!$G$5:$G$785,'Journal Entries'!$D$5:$D$785,"1000",'Journal Entries'!$C$5:$C$785,"2019Q4")</f>
        <v>17141000.91</v>
      </c>
      <c r="C8" s="23">
        <f>-SUMIFS('Journal Entries'!$H$5:$H$785,'Journal Entries'!$D$5:$D$785,"1000",'Journal Entries'!$C$5:$C$785,"2019Q4")</f>
        <v>-17143000.91</v>
      </c>
      <c r="D8" s="23">
        <f t="shared" si="0"/>
        <v>292000</v>
      </c>
      <c r="F8" s="8" t="s">
        <v>505</v>
      </c>
      <c r="G8" s="12">
        <v>0</v>
      </c>
    </row>
    <row r="9" spans="1:7" x14ac:dyDescent="0.25">
      <c r="A9" s="8" t="s">
        <v>241</v>
      </c>
      <c r="B9" s="23">
        <f>SUMIFS('Journal Entries'!$G$5:$G$785,'Journal Entries'!$D$5:$D$785,"1000",'Journal Entries'!$C$5:$C$785,"2020Q1")</f>
        <v>31000000</v>
      </c>
      <c r="C9" s="23">
        <f>-SUMIFS('Journal Entries'!$H$5:$H$785,'Journal Entries'!$D$5:$D$785,"1000",'Journal Entries'!$C$5:$C$785,"2020Q1")</f>
        <v>-31017000</v>
      </c>
      <c r="D9" s="23">
        <f t="shared" si="0"/>
        <v>275000</v>
      </c>
      <c r="F9" s="7" t="s">
        <v>506</v>
      </c>
      <c r="G9" s="16">
        <f>SUM(G5:G8)</f>
        <v>0</v>
      </c>
    </row>
    <row r="10" spans="1:7" x14ac:dyDescent="0.25">
      <c r="A10" s="8" t="s">
        <v>242</v>
      </c>
      <c r="B10" s="23">
        <f>SUMIFS('Journal Entries'!$G$5:$G$785,'Journal Entries'!$D$5:$D$785,"1000",'Journal Entries'!$C$5:$C$785,"2020Q2")</f>
        <v>24622107.620000001</v>
      </c>
      <c r="C10" s="23">
        <f>-SUMIFS('Journal Entries'!$H$5:$H$785,'Journal Entries'!$D$5:$D$785,"1000",'Journal Entries'!$C$5:$C$785,"2020Q2")</f>
        <v>-24589107.620000001</v>
      </c>
      <c r="D10" s="23">
        <f t="shared" si="0"/>
        <v>308000</v>
      </c>
      <c r="F10" s="8" t="s">
        <v>507</v>
      </c>
      <c r="G10" s="25">
        <f>'Trial Balance'!O$5</f>
        <v>2.7939677238464355E-9</v>
      </c>
    </row>
    <row r="11" spans="1:7" x14ac:dyDescent="0.25">
      <c r="A11" s="8" t="s">
        <v>243</v>
      </c>
      <c r="B11" s="23">
        <f>SUMIFS('Journal Entries'!$G$5:$G$785,'Journal Entries'!$D$5:$D$785,"1000",'Journal Entries'!$C$5:$C$785,"2020Q3")</f>
        <v>1400000</v>
      </c>
      <c r="C11" s="23">
        <f>-SUMIFS('Journal Entries'!$H$5:$H$785,'Journal Entries'!$D$5:$D$785,"1000",'Journal Entries'!$C$5:$C$785,"2020Q3")</f>
        <v>-1367000</v>
      </c>
      <c r="D11" s="23">
        <f t="shared" si="0"/>
        <v>341000</v>
      </c>
      <c r="F11" s="7" t="s">
        <v>508</v>
      </c>
      <c r="G11" s="21">
        <f>G9-G10</f>
        <v>-2.7939677238464355E-9</v>
      </c>
    </row>
    <row r="12" spans="1:7" x14ac:dyDescent="0.25">
      <c r="A12" s="8" t="s">
        <v>244</v>
      </c>
      <c r="B12" s="23">
        <f>SUMIFS('Journal Entries'!$G$5:$G$785,'Journal Entries'!$D$5:$D$785,"1000",'Journal Entries'!$C$5:$C$785,"2020Q4")</f>
        <v>26300000</v>
      </c>
      <c r="C12" s="23">
        <f>-SUMIFS('Journal Entries'!$H$5:$H$785,'Journal Entries'!$D$5:$D$785,"1000",'Journal Entries'!$C$5:$C$785,"2020Q4")</f>
        <v>-26367000</v>
      </c>
      <c r="D12" s="23">
        <f t="shared" si="0"/>
        <v>274000</v>
      </c>
    </row>
    <row r="13" spans="1:7" x14ac:dyDescent="0.25">
      <c r="A13" s="8" t="s">
        <v>245</v>
      </c>
      <c r="B13" s="23">
        <f>SUMIFS('Journal Entries'!$G$5:$G$785,'Journal Entries'!$D$5:$D$785,"1000",'Journal Entries'!$C$5:$C$785,"2021Q1")</f>
        <v>9400000</v>
      </c>
      <c r="C13" s="23">
        <f>-SUMIFS('Journal Entries'!$H$5:$H$785,'Journal Entries'!$D$5:$D$785,"1000",'Journal Entries'!$C$5:$C$785,"2021Q1")</f>
        <v>-9367000</v>
      </c>
      <c r="D13" s="23">
        <f t="shared" si="0"/>
        <v>307000</v>
      </c>
      <c r="F13" s="13" t="s">
        <v>509</v>
      </c>
    </row>
    <row r="14" spans="1:7" x14ac:dyDescent="0.25">
      <c r="A14" s="8" t="s">
        <v>247</v>
      </c>
      <c r="B14" s="23">
        <f>SUMIFS('Journal Entries'!$G$5:$G$785,'Journal Entries'!$D$5:$D$785,"1000",'Journal Entries'!$C$5:$C$785,"2021Q2")</f>
        <v>13400000</v>
      </c>
      <c r="C14" s="23">
        <f>-SUMIFS('Journal Entries'!$H$5:$H$785,'Journal Entries'!$D$5:$D$785,"1000",'Journal Entries'!$C$5:$C$785,"2021Q2")</f>
        <v>-13367000</v>
      </c>
      <c r="D14" s="23">
        <f t="shared" si="0"/>
        <v>340000</v>
      </c>
      <c r="F14" s="13" t="s">
        <v>510</v>
      </c>
    </row>
    <row r="15" spans="1:7" x14ac:dyDescent="0.25">
      <c r="A15" s="8" t="s">
        <v>248</v>
      </c>
      <c r="B15" s="23">
        <f>SUMIFS('Journal Entries'!$G$5:$G$785,'Journal Entries'!$D$5:$D$785,"1000",'Journal Entries'!$C$5:$C$785,"2021Q3")</f>
        <v>29300000</v>
      </c>
      <c r="C15" s="23">
        <f>-SUMIFS('Journal Entries'!$H$5:$H$785,'Journal Entries'!$D$5:$D$785,"1000",'Journal Entries'!$C$5:$C$785,"2021Q3")</f>
        <v>-29367000</v>
      </c>
      <c r="D15" s="23">
        <f t="shared" si="0"/>
        <v>273000</v>
      </c>
    </row>
    <row r="16" spans="1:7" x14ac:dyDescent="0.25">
      <c r="A16" s="8" t="s">
        <v>249</v>
      </c>
      <c r="B16" s="23">
        <f>SUMIFS('Journal Entries'!$G$5:$G$785,'Journal Entries'!$D$5:$D$785,"1000",'Journal Entries'!$C$5:$C$785,"2021Q4")</f>
        <v>3150000</v>
      </c>
      <c r="C16" s="23">
        <f>-SUMIFS('Journal Entries'!$H$5:$H$785,'Journal Entries'!$D$5:$D$785,"1000",'Journal Entries'!$C$5:$C$785,"2021Q4")</f>
        <v>-1367000</v>
      </c>
      <c r="D16" s="23">
        <f t="shared" si="0"/>
        <v>2056000</v>
      </c>
    </row>
    <row r="17" spans="1:4" x14ac:dyDescent="0.25">
      <c r="A17" s="8" t="s">
        <v>250</v>
      </c>
      <c r="B17" s="23">
        <f>SUMIFS('Journal Entries'!$G$5:$G$785,'Journal Entries'!$D$5:$D$785,"1000",'Journal Entries'!$C$5:$C$785,"2022Q1")</f>
        <v>20700000</v>
      </c>
      <c r="C17" s="23">
        <f>-SUMIFS('Journal Entries'!$H$5:$H$785,'Journal Entries'!$D$5:$D$785,"1000",'Journal Entries'!$C$5:$C$785,"2022Q1")</f>
        <v>-21367000</v>
      </c>
      <c r="D17" s="23">
        <f t="shared" si="0"/>
        <v>1389000</v>
      </c>
    </row>
    <row r="18" spans="1:4" x14ac:dyDescent="0.25">
      <c r="A18" s="8" t="s">
        <v>251</v>
      </c>
      <c r="B18" s="23">
        <f>SUMIFS('Journal Entries'!$G$5:$G$785,'Journal Entries'!$D$5:$D$785,"1000",'Journal Entries'!$C$5:$C$785,"2022Q2")</f>
        <v>7300000</v>
      </c>
      <c r="C18" s="23">
        <f>-SUMIFS('Journal Entries'!$H$5:$H$785,'Journal Entries'!$D$5:$D$785,"1000",'Journal Entries'!$C$5:$C$785,"2022Q2")</f>
        <v>-7367000</v>
      </c>
      <c r="D18" s="23">
        <f t="shared" si="0"/>
        <v>1322000</v>
      </c>
    </row>
    <row r="19" spans="1:4" x14ac:dyDescent="0.25">
      <c r="A19" s="8" t="s">
        <v>253</v>
      </c>
      <c r="B19" s="23">
        <f>SUMIFS('Journal Entries'!$G$5:$G$785,'Journal Entries'!$D$5:$D$785,"1000",'Journal Entries'!$C$5:$C$785,"2022Q3")</f>
        <v>1400000</v>
      </c>
      <c r="C19" s="23">
        <f>-SUMIFS('Journal Entries'!$H$5:$H$785,'Journal Entries'!$D$5:$D$785,"1000",'Journal Entries'!$C$5:$C$785,"2022Q3")</f>
        <v>-1367000</v>
      </c>
      <c r="D19" s="23">
        <f t="shared" si="0"/>
        <v>1355000</v>
      </c>
    </row>
    <row r="20" spans="1:4" x14ac:dyDescent="0.25">
      <c r="A20" s="8" t="s">
        <v>254</v>
      </c>
      <c r="B20" s="23">
        <f>SUMIFS('Journal Entries'!$G$5:$G$785,'Journal Entries'!$D$5:$D$785,"1000",'Journal Entries'!$C$5:$C$785,"2022Q4")</f>
        <v>1800000</v>
      </c>
      <c r="C20" s="23">
        <f>-SUMIFS('Journal Entries'!$H$5:$H$785,'Journal Entries'!$D$5:$D$785,"1000",'Journal Entries'!$C$5:$C$785,"2022Q4")</f>
        <v>-1367000</v>
      </c>
      <c r="D20" s="23">
        <f t="shared" si="0"/>
        <v>1788000</v>
      </c>
    </row>
    <row r="21" spans="1:4" x14ac:dyDescent="0.25">
      <c r="A21" s="8" t="s">
        <v>255</v>
      </c>
      <c r="B21" s="23">
        <f>SUMIFS('Journal Entries'!$G$5:$G$785,'Journal Entries'!$D$5:$D$785,"1000",'Journal Entries'!$C$5:$C$785,"2023Q1")</f>
        <v>500000</v>
      </c>
      <c r="C21" s="23">
        <f>-SUMIFS('Journal Entries'!$H$5:$H$785,'Journal Entries'!$D$5:$D$785,"1000",'Journal Entries'!$C$5:$C$785,"2023Q1")</f>
        <v>-1367000</v>
      </c>
      <c r="D21" s="23">
        <f t="shared" si="0"/>
        <v>921000</v>
      </c>
    </row>
    <row r="22" spans="1:4" x14ac:dyDescent="0.25">
      <c r="A22" s="8" t="s">
        <v>256</v>
      </c>
      <c r="B22" s="23">
        <f>SUMIFS('Journal Entries'!$G$5:$G$785,'Journal Entries'!$D$5:$D$785,"1000",'Journal Entries'!$C$5:$C$785,"2023Q2")</f>
        <v>6400000</v>
      </c>
      <c r="C22" s="23">
        <f>-SUMIFS('Journal Entries'!$H$5:$H$785,'Journal Entries'!$D$5:$D$785,"1000",'Journal Entries'!$C$5:$C$785,"2023Q2")</f>
        <v>-6367000</v>
      </c>
      <c r="D22" s="23">
        <f t="shared" si="0"/>
        <v>954000</v>
      </c>
    </row>
    <row r="23" spans="1:4" x14ac:dyDescent="0.25">
      <c r="A23" s="8" t="s">
        <v>257</v>
      </c>
      <c r="B23" s="23">
        <f>SUMIFS('Journal Entries'!$G$5:$G$785,'Journal Entries'!$D$5:$D$785,"1000",'Journal Entries'!$C$5:$C$785,"2023Q3")</f>
        <v>5400000</v>
      </c>
      <c r="C23" s="23">
        <f>-SUMIFS('Journal Entries'!$H$5:$H$785,'Journal Entries'!$D$5:$D$785,"1000",'Journal Entries'!$C$5:$C$785,"2023Q3")</f>
        <v>-5367000</v>
      </c>
      <c r="D23" s="23">
        <f t="shared" si="0"/>
        <v>987000</v>
      </c>
    </row>
    <row r="24" spans="1:4" x14ac:dyDescent="0.25">
      <c r="A24" s="8" t="s">
        <v>258</v>
      </c>
      <c r="B24" s="23">
        <f>SUMIFS('Journal Entries'!$G$5:$G$785,'Journal Entries'!$D$5:$D$785,"1000",'Journal Entries'!$C$5:$C$785,"2023Q4")</f>
        <v>1700000</v>
      </c>
      <c r="C24" s="23">
        <f>-SUMIFS('Journal Entries'!$H$5:$H$785,'Journal Entries'!$D$5:$D$785,"1000",'Journal Entries'!$C$5:$C$785,"2023Q4")</f>
        <v>-1367000</v>
      </c>
      <c r="D24" s="23">
        <f t="shared" si="0"/>
        <v>1320000</v>
      </c>
    </row>
    <row r="25" spans="1:4" x14ac:dyDescent="0.25">
      <c r="A25" s="8" t="s">
        <v>259</v>
      </c>
      <c r="B25" s="23">
        <f>SUMIFS('Journal Entries'!$G$5:$G$785,'Journal Entries'!$D$5:$D$785,"1000",'Journal Entries'!$C$5:$C$785,"2024Q1")</f>
        <v>600000</v>
      </c>
      <c r="C25" s="23">
        <f>-SUMIFS('Journal Entries'!$H$5:$H$785,'Journal Entries'!$D$5:$D$785,"1000",'Journal Entries'!$C$5:$C$785,"2024Q1")</f>
        <v>-1367000</v>
      </c>
      <c r="D25" s="23">
        <f t="shared" si="0"/>
        <v>553000</v>
      </c>
    </row>
    <row r="26" spans="1:4" x14ac:dyDescent="0.25">
      <c r="A26" s="8" t="s">
        <v>260</v>
      </c>
      <c r="B26" s="23">
        <f>SUMIFS('Journal Entries'!$G$5:$G$785,'Journal Entries'!$D$5:$D$785,"1000",'Journal Entries'!$C$5:$C$785,"2024Q2")</f>
        <v>1650000</v>
      </c>
      <c r="C26" s="23">
        <f>-SUMIFS('Journal Entries'!$H$5:$H$785,'Journal Entries'!$D$5:$D$785,"1000",'Journal Entries'!$C$5:$C$785,"2024Q2")</f>
        <v>-1367000</v>
      </c>
      <c r="D26" s="23">
        <f t="shared" si="0"/>
        <v>836000</v>
      </c>
    </row>
    <row r="27" spans="1:4" x14ac:dyDescent="0.25">
      <c r="A27" s="8" t="s">
        <v>261</v>
      </c>
      <c r="B27" s="23">
        <f>SUMIFS('Journal Entries'!$G$5:$G$785,'Journal Entries'!$D$5:$D$785,"1000",'Journal Entries'!$C$5:$C$785,"2024Q3")</f>
        <v>118800000</v>
      </c>
      <c r="C27" s="23">
        <f>-SUMIFS('Journal Entries'!$H$5:$H$785,'Journal Entries'!$D$5:$D$785,"1000",'Journal Entries'!$C$5:$C$785,"2024Q3")</f>
        <v>-116567000</v>
      </c>
      <c r="D27" s="23">
        <f t="shared" si="0"/>
        <v>3069000</v>
      </c>
    </row>
    <row r="28" spans="1:4" x14ac:dyDescent="0.25">
      <c r="A28" s="8" t="s">
        <v>264</v>
      </c>
      <c r="B28" s="23">
        <f>SUMIFS('Journal Entries'!$G$5:$G$785,'Journal Entries'!$D$5:$D$785,"1000",'Journal Entries'!$C$5:$C$785,"2024Q4")</f>
        <v>0</v>
      </c>
      <c r="C28" s="23">
        <f>-SUMIFS('Journal Entries'!$H$5:$H$785,'Journal Entries'!$D$5:$D$785,"1000",'Journal Entries'!$C$5:$C$785,"2024Q4")</f>
        <v>-1367000</v>
      </c>
      <c r="D28" s="23">
        <f t="shared" si="0"/>
        <v>1702000</v>
      </c>
    </row>
    <row r="29" spans="1:4" x14ac:dyDescent="0.25">
      <c r="A29" s="8" t="s">
        <v>265</v>
      </c>
      <c r="B29" s="23">
        <f>SUMIFS('Journal Entries'!$G$5:$G$785,'Journal Entries'!$D$5:$D$785,"1000",'Journal Entries'!$C$5:$C$785,"2025Q1")</f>
        <v>0</v>
      </c>
      <c r="C29" s="23">
        <f>-SUMIFS('Journal Entries'!$H$5:$H$785,'Journal Entries'!$D$5:$D$785,"1000",'Journal Entries'!$C$5:$C$785,"2025Q1")</f>
        <v>-1358500</v>
      </c>
      <c r="D29" s="23">
        <f t="shared" si="0"/>
        <v>343500</v>
      </c>
    </row>
    <row r="30" spans="1:4" x14ac:dyDescent="0.25">
      <c r="A30" s="8" t="s">
        <v>266</v>
      </c>
      <c r="B30" s="23">
        <f>SUMIFS('Journal Entries'!$G$5:$G$785,'Journal Entries'!$D$5:$D$785,"1000",'Journal Entries'!$C$5:$C$785,"2025Q2")</f>
        <v>30100000</v>
      </c>
      <c r="C30" s="23">
        <f>-SUMIFS('Journal Entries'!$H$5:$H$785,'Journal Entries'!$D$5:$D$785,"1000",'Journal Entries'!$C$5:$C$785,"2025Q2")</f>
        <v>-27358500</v>
      </c>
      <c r="D30" s="23">
        <f t="shared" si="0"/>
        <v>3085000</v>
      </c>
    </row>
    <row r="31" spans="1:4" x14ac:dyDescent="0.25">
      <c r="A31" s="8" t="s">
        <v>267</v>
      </c>
      <c r="B31" s="23">
        <f>SUMIFS('Journal Entries'!$G$5:$G$785,'Journal Entries'!$D$5:$D$785,"1000",'Journal Entries'!$C$5:$C$785,"2025Q3")</f>
        <v>0</v>
      </c>
      <c r="C31" s="23">
        <f>-SUMIFS('Journal Entries'!$H$5:$H$785,'Journal Entries'!$D$5:$D$785,"1000",'Journal Entries'!$C$5:$C$785,"2025Q3")</f>
        <v>-663500</v>
      </c>
      <c r="D31" s="23">
        <f t="shared" si="0"/>
        <v>2421500</v>
      </c>
    </row>
    <row r="32" spans="1:4" x14ac:dyDescent="0.25">
      <c r="A32" s="8" t="s">
        <v>268</v>
      </c>
      <c r="B32" s="23">
        <f>SUMIFS('Journal Entries'!$G$5:$G$785,'Journal Entries'!$D$5:$D$785,"1000",'Journal Entries'!$C$5:$C$785,"2025Q4")</f>
        <v>0</v>
      </c>
      <c r="C32" s="23">
        <f>-SUMIFS('Journal Entries'!$H$5:$H$785,'Journal Entries'!$D$5:$D$785,"1000",'Journal Entries'!$C$5:$C$785,"2025Q4")</f>
        <v>-663500</v>
      </c>
      <c r="D32" s="23">
        <f t="shared" si="0"/>
        <v>1758000</v>
      </c>
    </row>
    <row r="33" spans="1:4" x14ac:dyDescent="0.25">
      <c r="A33" s="8" t="s">
        <v>269</v>
      </c>
      <c r="B33" s="23">
        <f>SUMIFS('Journal Entries'!$G$5:$G$785,'Journal Entries'!$D$5:$D$785,"1000",'Journal Entries'!$C$5:$C$785,"2026Q1")</f>
        <v>0</v>
      </c>
      <c r="C33" s="23">
        <f>-SUMIFS('Journal Entries'!$H$5:$H$785,'Journal Entries'!$D$5:$D$785,"1000",'Journal Entries'!$C$5:$C$785,"2026Q1")</f>
        <v>-663500</v>
      </c>
      <c r="D33" s="23">
        <f t="shared" si="0"/>
        <v>1094500</v>
      </c>
    </row>
    <row r="34" spans="1:4" x14ac:dyDescent="0.25">
      <c r="A34" s="8" t="s">
        <v>270</v>
      </c>
      <c r="B34" s="23">
        <f>SUMIFS('Journal Entries'!$G$5:$G$785,'Journal Entries'!$D$5:$D$785,"1000",'Journal Entries'!$C$5:$C$785,"2026Q2")</f>
        <v>0</v>
      </c>
      <c r="C34" s="23">
        <f>-SUMIFS('Journal Entries'!$H$5:$H$785,'Journal Entries'!$D$5:$D$785,"1000",'Journal Entries'!$C$5:$C$785,"2026Q2")</f>
        <v>-663500</v>
      </c>
      <c r="D34" s="23">
        <f t="shared" si="0"/>
        <v>431000</v>
      </c>
    </row>
    <row r="35" spans="1:4" x14ac:dyDescent="0.25">
      <c r="A35" s="8" t="s">
        <v>271</v>
      </c>
      <c r="B35" s="23">
        <f>SUMIFS('Journal Entries'!$G$5:$G$785,'Journal Entries'!$D$5:$D$785,"1000",'Journal Entries'!$C$5:$C$785,"2026Q3")</f>
        <v>500000</v>
      </c>
      <c r="C35" s="23">
        <f>-SUMIFS('Journal Entries'!$H$5:$H$785,'Journal Entries'!$D$5:$D$785,"1000",'Journal Entries'!$C$5:$C$785,"2026Q3")</f>
        <v>-663500</v>
      </c>
      <c r="D35" s="23">
        <f t="shared" si="0"/>
        <v>267500</v>
      </c>
    </row>
    <row r="36" spans="1:4" x14ac:dyDescent="0.25">
      <c r="A36" s="8" t="s">
        <v>272</v>
      </c>
      <c r="B36" s="23">
        <f>SUMIFS('Journal Entries'!$G$5:$G$785,'Journal Entries'!$D$5:$D$785,"1000",'Journal Entries'!$C$5:$C$785,"2026Q4")</f>
        <v>700000</v>
      </c>
      <c r="C36" s="23">
        <f>-SUMIFS('Journal Entries'!$H$5:$H$785,'Journal Entries'!$D$5:$D$785,"1000",'Journal Entries'!$C$5:$C$785,"2026Q4")</f>
        <v>-663500</v>
      </c>
      <c r="D36" s="23">
        <f t="shared" si="0"/>
        <v>304000</v>
      </c>
    </row>
    <row r="37" spans="1:4" x14ac:dyDescent="0.25">
      <c r="A37" s="8" t="s">
        <v>273</v>
      </c>
      <c r="B37" s="23">
        <f>SUMIFS('Journal Entries'!$G$5:$G$785,'Journal Entries'!$D$5:$D$785,"1000",'Journal Entries'!$C$5:$C$785,"2027Q1")</f>
        <v>700000</v>
      </c>
      <c r="C37" s="23">
        <f>-SUMIFS('Journal Entries'!$H$5:$H$785,'Journal Entries'!$D$5:$D$785,"1000",'Journal Entries'!$C$5:$C$785,"2027Q1")</f>
        <v>-663500</v>
      </c>
      <c r="D37" s="23">
        <f t="shared" si="0"/>
        <v>340500</v>
      </c>
    </row>
    <row r="38" spans="1:4" x14ac:dyDescent="0.25">
      <c r="A38" s="8" t="s">
        <v>274</v>
      </c>
      <c r="B38" s="23">
        <f>SUMIFS('Journal Entries'!$G$5:$G$785,'Journal Entries'!$D$5:$D$785,"1000",'Journal Entries'!$C$5:$C$785,"2027Q2")</f>
        <v>92400000</v>
      </c>
      <c r="C38" s="23">
        <f>-SUMIFS('Journal Entries'!$H$5:$H$785,'Journal Entries'!$D$5:$D$785,"1000",'Journal Entries'!$C$5:$C$785,"2027Q2")</f>
        <v>-89688500</v>
      </c>
      <c r="D38" s="23">
        <f t="shared" si="0"/>
        <v>3052000</v>
      </c>
    </row>
    <row r="39" spans="1:4" x14ac:dyDescent="0.25">
      <c r="A39" s="8" t="s">
        <v>275</v>
      </c>
      <c r="B39" s="23">
        <f>SUMIFS('Journal Entries'!$G$5:$G$785,'Journal Entries'!$D$5:$D$785,"1000",'Journal Entries'!$C$5:$C$785,"2027Q3")</f>
        <v>0</v>
      </c>
      <c r="C39" s="23">
        <f>-SUMIFS('Journal Entries'!$H$5:$H$785,'Journal Entries'!$D$5:$D$785,"1000",'Journal Entries'!$C$5:$C$785,"2027Q3")</f>
        <v>-488500</v>
      </c>
      <c r="D39" s="23">
        <f t="shared" si="0"/>
        <v>2563500</v>
      </c>
    </row>
    <row r="40" spans="1:4" x14ac:dyDescent="0.25">
      <c r="A40" s="8" t="s">
        <v>276</v>
      </c>
      <c r="B40" s="23">
        <f>SUMIFS('Journal Entries'!$G$5:$G$785,'Journal Entries'!$D$5:$D$785,"1000",'Journal Entries'!$C$5:$C$785,"2027Q4")</f>
        <v>0</v>
      </c>
      <c r="C40" s="23">
        <f>-SUMIFS('Journal Entries'!$H$5:$H$785,'Journal Entries'!$D$5:$D$785,"1000",'Journal Entries'!$C$5:$C$785,"2027Q4")</f>
        <v>-488500</v>
      </c>
      <c r="D40" s="23">
        <f t="shared" si="0"/>
        <v>2075000</v>
      </c>
    </row>
    <row r="41" spans="1:4" x14ac:dyDescent="0.25">
      <c r="A41" s="8" t="s">
        <v>277</v>
      </c>
      <c r="B41" s="23">
        <f>SUMIFS('Journal Entries'!$G$5:$G$785,'Journal Entries'!$D$5:$D$785,"1000",'Journal Entries'!$C$5:$C$785,"2028Q1")</f>
        <v>0</v>
      </c>
      <c r="C41" s="23">
        <f>-SUMIFS('Journal Entries'!$H$5:$H$785,'Journal Entries'!$D$5:$D$785,"1000",'Journal Entries'!$C$5:$C$785,"2028Q1")</f>
        <v>-488500</v>
      </c>
      <c r="D41" s="23">
        <f t="shared" si="0"/>
        <v>1586500</v>
      </c>
    </row>
    <row r="42" spans="1:4" x14ac:dyDescent="0.25">
      <c r="A42" s="8" t="s">
        <v>278</v>
      </c>
      <c r="B42" s="23">
        <f>SUMIFS('Journal Entries'!$G$5:$G$785,'Journal Entries'!$D$5:$D$785,"1000",'Journal Entries'!$C$5:$C$785,"2028Q2")</f>
        <v>46000000</v>
      </c>
      <c r="C42" s="23">
        <f>-SUMIFS('Journal Entries'!$H$5:$H$785,'Journal Entries'!$D$5:$D$785,"1000",'Journal Entries'!$C$5:$C$785,"2028Q2")</f>
        <v>-44548500</v>
      </c>
      <c r="D42" s="23">
        <f t="shared" si="0"/>
        <v>3038000</v>
      </c>
    </row>
    <row r="43" spans="1:4" x14ac:dyDescent="0.25">
      <c r="A43" s="8" t="s">
        <v>279</v>
      </c>
      <c r="B43" s="23">
        <f>SUMIFS('Journal Entries'!$G$5:$G$785,'Journal Entries'!$D$5:$D$785,"1000",'Journal Entries'!$C$5:$C$785,"2028Q3")</f>
        <v>0</v>
      </c>
      <c r="C43" s="23">
        <f>-SUMIFS('Journal Entries'!$H$5:$H$785,'Journal Entries'!$D$5:$D$785,"1000",'Journal Entries'!$C$5:$C$785,"2028Q3")</f>
        <v>-348500</v>
      </c>
      <c r="D43" s="23">
        <f t="shared" si="0"/>
        <v>2689500</v>
      </c>
    </row>
    <row r="44" spans="1:4" x14ac:dyDescent="0.25">
      <c r="A44" s="8" t="s">
        <v>280</v>
      </c>
      <c r="B44" s="23">
        <f>SUMIFS('Journal Entries'!$G$5:$G$785,'Journal Entries'!$D$5:$D$785,"1000",'Journal Entries'!$C$5:$C$785,"2028Q4")</f>
        <v>74192277.700000003</v>
      </c>
      <c r="C44" s="23">
        <f>-SUMIFS('Journal Entries'!$H$5:$H$785,'Journal Entries'!$D$5:$D$785,"1000",'Journal Entries'!$C$5:$C$785,"2028Q4")</f>
        <v>-73823500</v>
      </c>
      <c r="D44" s="23">
        <f t="shared" si="0"/>
        <v>3058277.700000003</v>
      </c>
    </row>
    <row r="45" spans="1:4" x14ac:dyDescent="0.25">
      <c r="A45" s="8" t="s">
        <v>281</v>
      </c>
      <c r="B45" s="23">
        <f>SUMIFS('Journal Entries'!$G$5:$G$785,'Journal Entries'!$D$5:$D$785,"1000",'Journal Entries'!$C$5:$C$785,"2029Q1")</f>
        <v>0</v>
      </c>
      <c r="C45" s="23">
        <f>-SUMIFS('Journal Entries'!$H$5:$H$785,'Journal Entries'!$D$5:$D$785,"1000",'Journal Entries'!$C$5:$C$785,"2029Q1")</f>
        <v>-223500</v>
      </c>
      <c r="D45" s="23">
        <f t="shared" si="0"/>
        <v>2834777.700000003</v>
      </c>
    </row>
    <row r="46" spans="1:4" x14ac:dyDescent="0.25">
      <c r="A46" s="8" t="s">
        <v>282</v>
      </c>
      <c r="B46" s="23">
        <f>SUMIFS('Journal Entries'!$G$5:$G$785,'Journal Entries'!$D$5:$D$785,"1000",'Journal Entries'!$C$5:$C$785,"2029Q2")</f>
        <v>62000000</v>
      </c>
      <c r="C46" s="23">
        <f>-SUMIFS('Journal Entries'!$H$5:$H$785,'Journal Entries'!$D$5:$D$785,"1000",'Journal Entries'!$C$5:$C$785,"2029Q2")</f>
        <v>-61833500</v>
      </c>
      <c r="D46" s="23">
        <f t="shared" si="0"/>
        <v>3001277.700000003</v>
      </c>
    </row>
    <row r="47" spans="1:4" x14ac:dyDescent="0.25">
      <c r="A47" s="8" t="s">
        <v>283</v>
      </c>
      <c r="B47" s="23">
        <f>SUMIFS('Journal Entries'!$G$5:$G$785,'Journal Entries'!$D$5:$D$785,"1000",'Journal Entries'!$C$5:$C$785,"2029Q3")</f>
        <v>0</v>
      </c>
      <c r="C47" s="23">
        <f>-SUMIFS('Journal Entries'!$H$5:$H$785,'Journal Entries'!$D$5:$D$785,"1000",'Journal Entries'!$C$5:$C$785,"2029Q3")</f>
        <v>-133500</v>
      </c>
      <c r="D47" s="23">
        <f t="shared" si="0"/>
        <v>2867777.700000003</v>
      </c>
    </row>
    <row r="48" spans="1:4" x14ac:dyDescent="0.25">
      <c r="A48" s="8" t="s">
        <v>284</v>
      </c>
      <c r="B48" s="23">
        <f>SUMIFS('Journal Entries'!$G$5:$G$785,'Journal Entries'!$D$5:$D$785,"1000",'Journal Entries'!$C$5:$C$785,"2029Q4")</f>
        <v>0</v>
      </c>
      <c r="C48" s="23">
        <f>-SUMIFS('Journal Entries'!$H$5:$H$785,'Journal Entries'!$D$5:$D$785,"1000",'Journal Entries'!$C$5:$C$785,"2029Q4")</f>
        <v>-133500</v>
      </c>
      <c r="D48" s="23">
        <f t="shared" si="0"/>
        <v>2734277.700000003</v>
      </c>
    </row>
    <row r="49" spans="1:4" x14ac:dyDescent="0.25">
      <c r="A49" s="8" t="s">
        <v>285</v>
      </c>
      <c r="B49" s="23">
        <f>SUMIFS('Journal Entries'!$G$5:$G$785,'Journal Entries'!$D$5:$D$785,"1000",'Journal Entries'!$C$5:$C$785,"2030Q1")</f>
        <v>0</v>
      </c>
      <c r="C49" s="23">
        <f>-SUMIFS('Journal Entries'!$H$5:$H$785,'Journal Entries'!$D$5:$D$785,"1000",'Journal Entries'!$C$5:$C$785,"2030Q1")</f>
        <v>-133500</v>
      </c>
      <c r="D49" s="23">
        <f t="shared" si="0"/>
        <v>2600777.700000003</v>
      </c>
    </row>
    <row r="50" spans="1:4" x14ac:dyDescent="0.25">
      <c r="A50" s="8" t="s">
        <v>286</v>
      </c>
      <c r="B50" s="23">
        <f>SUMIFS('Journal Entries'!$G$5:$G$785,'Journal Entries'!$D$5:$D$785,"1000",'Journal Entries'!$C$5:$C$785,"2030Q2")</f>
        <v>0</v>
      </c>
      <c r="C50" s="23">
        <f>-SUMIFS('Journal Entries'!$H$5:$H$785,'Journal Entries'!$D$5:$D$785,"1000",'Journal Entries'!$C$5:$C$785,"2030Q2")</f>
        <v>-2600777.7000000002</v>
      </c>
      <c r="D50" s="23">
        <f t="shared" si="0"/>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22"/>
  <sheetViews>
    <sheetView workbookViewId="0"/>
  </sheetViews>
  <sheetFormatPr defaultRowHeight="15" x14ac:dyDescent="0.25"/>
  <cols>
    <col min="1" max="1" width="34" customWidth="1"/>
    <col min="2" max="2" width="96" customWidth="1"/>
  </cols>
  <sheetData>
    <row r="1" spans="1:2" ht="18" customHeight="1" x14ac:dyDescent="0.25">
      <c r="A1" s="9" t="s">
        <v>63</v>
      </c>
    </row>
    <row r="4" spans="1:2" x14ac:dyDescent="0.25">
      <c r="A4" s="5" t="s">
        <v>89</v>
      </c>
      <c r="B4" s="5" t="s">
        <v>511</v>
      </c>
    </row>
    <row r="5" spans="1:2" x14ac:dyDescent="0.25">
      <c r="A5" s="7" t="s">
        <v>512</v>
      </c>
      <c r="B5" s="4" t="s">
        <v>513</v>
      </c>
    </row>
    <row r="6" spans="1:2" x14ac:dyDescent="0.25">
      <c r="A6" s="7" t="s">
        <v>514</v>
      </c>
      <c r="B6" s="4" t="s">
        <v>515</v>
      </c>
    </row>
    <row r="7" spans="1:2" x14ac:dyDescent="0.25">
      <c r="A7" s="7" t="s">
        <v>516</v>
      </c>
      <c r="B7" s="4" t="s">
        <v>517</v>
      </c>
    </row>
    <row r="8" spans="1:2" x14ac:dyDescent="0.25">
      <c r="A8" s="7" t="s">
        <v>518</v>
      </c>
      <c r="B8" s="4" t="s">
        <v>519</v>
      </c>
    </row>
    <row r="9" spans="1:2" x14ac:dyDescent="0.25">
      <c r="A9" s="7" t="s">
        <v>117</v>
      </c>
      <c r="B9" s="4" t="s">
        <v>520</v>
      </c>
    </row>
    <row r="10" spans="1:2" x14ac:dyDescent="0.25">
      <c r="A10" s="7" t="s">
        <v>521</v>
      </c>
      <c r="B10" s="4" t="s">
        <v>522</v>
      </c>
    </row>
    <row r="11" spans="1:2" x14ac:dyDescent="0.25">
      <c r="A11" s="7" t="s">
        <v>523</v>
      </c>
      <c r="B11" s="4" t="s">
        <v>524</v>
      </c>
    </row>
    <row r="12" spans="1:2" x14ac:dyDescent="0.25">
      <c r="A12" s="7" t="s">
        <v>525</v>
      </c>
      <c r="B12" s="4" t="s">
        <v>526</v>
      </c>
    </row>
    <row r="13" spans="1:2" x14ac:dyDescent="0.25">
      <c r="A13" s="7" t="s">
        <v>527</v>
      </c>
      <c r="B13" s="4" t="s">
        <v>528</v>
      </c>
    </row>
    <row r="14" spans="1:2" x14ac:dyDescent="0.25">
      <c r="A14" s="7" t="s">
        <v>529</v>
      </c>
      <c r="B14" s="4" t="s">
        <v>530</v>
      </c>
    </row>
    <row r="15" spans="1:2" x14ac:dyDescent="0.25">
      <c r="A15" s="7" t="s">
        <v>420</v>
      </c>
      <c r="B15" s="4" t="s">
        <v>531</v>
      </c>
    </row>
    <row r="16" spans="1:2" x14ac:dyDescent="0.25">
      <c r="A16" s="7" t="s">
        <v>532</v>
      </c>
      <c r="B16" s="4" t="s">
        <v>533</v>
      </c>
    </row>
    <row r="17" spans="1:2" x14ac:dyDescent="0.25">
      <c r="A17" s="7" t="s">
        <v>121</v>
      </c>
      <c r="B17" s="4" t="s">
        <v>534</v>
      </c>
    </row>
    <row r="18" spans="1:2" x14ac:dyDescent="0.25">
      <c r="A18" s="7" t="s">
        <v>123</v>
      </c>
      <c r="B18" s="4" t="s">
        <v>535</v>
      </c>
    </row>
    <row r="19" spans="1:2" x14ac:dyDescent="0.25">
      <c r="A19" s="7" t="s">
        <v>536</v>
      </c>
      <c r="B19" s="4" t="s">
        <v>537</v>
      </c>
    </row>
    <row r="20" spans="1:2" x14ac:dyDescent="0.25">
      <c r="A20" s="7" t="s">
        <v>538</v>
      </c>
      <c r="B20" s="4" t="s">
        <v>539</v>
      </c>
    </row>
    <row r="21" spans="1:2" x14ac:dyDescent="0.25">
      <c r="A21" s="7" t="s">
        <v>540</v>
      </c>
      <c r="B21" s="4" t="s">
        <v>541</v>
      </c>
    </row>
    <row r="22" spans="1:2" x14ac:dyDescent="0.25">
      <c r="A22" s="7" t="s">
        <v>111</v>
      </c>
      <c r="B22" s="4" t="s">
        <v>542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7"/>
  <sheetViews>
    <sheetView workbookViewId="0"/>
  </sheetViews>
  <sheetFormatPr defaultRowHeight="15" x14ac:dyDescent="0.25"/>
  <cols>
    <col min="1" max="1" width="64" customWidth="1"/>
    <col min="2" max="3" width="20" customWidth="1"/>
    <col min="4" max="4" width="16" customWidth="1"/>
    <col min="5" max="5" width="10" customWidth="1"/>
  </cols>
  <sheetData>
    <row r="1" spans="1:5" ht="18" customHeight="1" x14ac:dyDescent="0.25">
      <c r="A1" s="9" t="s">
        <v>60</v>
      </c>
    </row>
    <row r="2" spans="1:5" x14ac:dyDescent="0.25">
      <c r="A2" s="10" t="s">
        <v>591</v>
      </c>
    </row>
    <row r="4" spans="1:5" x14ac:dyDescent="0.25">
      <c r="A4" s="5" t="s">
        <v>592</v>
      </c>
      <c r="B4" s="5" t="s">
        <v>593</v>
      </c>
      <c r="C4" s="5" t="s">
        <v>594</v>
      </c>
      <c r="D4" s="5" t="s">
        <v>595</v>
      </c>
      <c r="E4" s="5" t="s">
        <v>596</v>
      </c>
    </row>
    <row r="5" spans="1:5" x14ac:dyDescent="0.25">
      <c r="A5" s="8" t="s">
        <v>597</v>
      </c>
      <c r="B5" s="35">
        <f>ROUND(ABS('Trial Balance'!D36)+ABS('Trial Balance'!E36)+ABS('Trial Balance'!F36)+ABS('Trial Balance'!G36)+ABS('Trial Balance'!H36)+ABS('Trial Balance'!I36)+ABS('Trial Balance'!J36)+ABS('Trial Balance'!K36)+ABS('Trial Balance'!L36)+ABS('Trial Balance'!M36)+ABS('Trial Balance'!N36)+ABS('Trial Balance'!O36),2)</f>
        <v>0</v>
      </c>
      <c r="C5" s="35">
        <f>ROUND(0,2)</f>
        <v>0</v>
      </c>
      <c r="D5" s="22">
        <f t="shared" ref="D5:D26" si="0">ROUND(B5-C5,2)</f>
        <v>0</v>
      </c>
      <c r="E5" s="36" t="str">
        <f t="shared" ref="E5:E26" si="1">IF(D5=0,"PASS","FAIL")</f>
        <v>PASS</v>
      </c>
    </row>
    <row r="6" spans="1:5" x14ac:dyDescent="0.25">
      <c r="A6" s="8" t="s">
        <v>598</v>
      </c>
      <c r="B6" s="35">
        <f>ROUND('Balance Sheet'!M12-'Balance Sheet'!M19,2)</f>
        <v>0</v>
      </c>
      <c r="C6" s="35">
        <f>ROUND('Balance Sheet'!M21,2)</f>
        <v>0</v>
      </c>
      <c r="D6" s="22">
        <f t="shared" si="0"/>
        <v>0</v>
      </c>
      <c r="E6" s="36" t="str">
        <f t="shared" si="1"/>
        <v>PASS</v>
      </c>
    </row>
    <row r="7" spans="1:5" x14ac:dyDescent="0.25">
      <c r="A7" s="8" t="s">
        <v>599</v>
      </c>
      <c r="B7" s="35">
        <f>ROUND('Changes in Partners Capital'!M10,2)</f>
        <v>0</v>
      </c>
      <c r="C7" s="35">
        <f>ROUND('Balance Sheet'!M21,2)</f>
        <v>0</v>
      </c>
      <c r="D7" s="22">
        <f t="shared" si="0"/>
        <v>0</v>
      </c>
      <c r="E7" s="36" t="str">
        <f t="shared" si="1"/>
        <v>PASS</v>
      </c>
    </row>
    <row r="8" spans="1:5" x14ac:dyDescent="0.25">
      <c r="A8" s="8" t="s">
        <v>600</v>
      </c>
      <c r="B8" s="35">
        <f>ROUND(ABS('Cash Flow Statement'!B28)+ABS('Cash Flow Statement'!C28)+ABS('Cash Flow Statement'!D28)+ABS('Cash Flow Statement'!E28)+ABS('Cash Flow Statement'!F28)+ABS('Cash Flow Statement'!G28)+ABS('Cash Flow Statement'!H28)+ABS('Cash Flow Statement'!I28)+ABS('Cash Flow Statement'!J28)+ABS('Cash Flow Statement'!K28)+ABS('Cash Flow Statement'!L28)+ABS('Cash Flow Statement'!M28),2)</f>
        <v>0</v>
      </c>
      <c r="C8" s="35">
        <f>ROUND(0,2)</f>
        <v>0</v>
      </c>
      <c r="D8" s="22">
        <f t="shared" si="0"/>
        <v>0</v>
      </c>
      <c r="E8" s="36" t="str">
        <f t="shared" si="1"/>
        <v>PASS</v>
      </c>
    </row>
    <row r="9" spans="1:5" x14ac:dyDescent="0.25">
      <c r="A9" s="8" t="s">
        <v>601</v>
      </c>
      <c r="B9" s="35">
        <f>ROUND('Investor Allocations'!J19,2)</f>
        <v>0</v>
      </c>
      <c r="C9" s="35">
        <f>ROUND('Balance Sheet'!M21,2)</f>
        <v>0</v>
      </c>
      <c r="D9" s="22">
        <f t="shared" si="0"/>
        <v>0</v>
      </c>
      <c r="E9" s="36" t="str">
        <f t="shared" si="1"/>
        <v>PASS</v>
      </c>
    </row>
    <row r="10" spans="1:5" x14ac:dyDescent="0.25">
      <c r="A10" s="8" t="s">
        <v>602</v>
      </c>
      <c r="B10" s="35">
        <f>ROUND('Investor Allocations'!J9,2)</f>
        <v>213300000</v>
      </c>
      <c r="C10" s="35">
        <f>ROUND(-('Trial Balance'!O$17),2)</f>
        <v>213300000</v>
      </c>
      <c r="D10" s="22">
        <f t="shared" si="0"/>
        <v>0</v>
      </c>
      <c r="E10" s="36" t="str">
        <f t="shared" si="1"/>
        <v>PASS</v>
      </c>
    </row>
    <row r="11" spans="1:5" x14ac:dyDescent="0.25">
      <c r="A11" s="8" t="s">
        <v>603</v>
      </c>
      <c r="B11" s="35">
        <f>ROUND(-'Investor Allocations'!J18,2)</f>
        <v>412367277.69999999</v>
      </c>
      <c r="C11" s="35">
        <f>ROUND('Trial Balance'!O$19,2)</f>
        <v>412367277.69999999</v>
      </c>
      <c r="D11" s="22">
        <f t="shared" si="0"/>
        <v>0</v>
      </c>
      <c r="E11" s="36" t="str">
        <f t="shared" si="1"/>
        <v>PASS</v>
      </c>
    </row>
    <row r="12" spans="1:5" x14ac:dyDescent="0.25">
      <c r="A12" s="8" t="s">
        <v>604</v>
      </c>
      <c r="B12" s="35">
        <f>ROUND(Waterfall!G53+Waterfall!G54,2)</f>
        <v>412367277.69999999</v>
      </c>
      <c r="C12" s="35">
        <f>ROUND(Waterfall!C51,2)</f>
        <v>412367277.69999999</v>
      </c>
      <c r="D12" s="22">
        <f t="shared" si="0"/>
        <v>0</v>
      </c>
      <c r="E12" s="36" t="str">
        <f t="shared" si="1"/>
        <v>PASS</v>
      </c>
    </row>
    <row r="13" spans="1:5" x14ac:dyDescent="0.25">
      <c r="A13" s="8" t="s">
        <v>605</v>
      </c>
      <c r="B13" s="35">
        <f>ROUND(Waterfall!B51,2)</f>
        <v>213300000</v>
      </c>
      <c r="C13" s="35">
        <f>ROUND(-('Trial Balance'!O$17),2)</f>
        <v>213300000</v>
      </c>
      <c r="D13" s="22">
        <f t="shared" si="0"/>
        <v>0</v>
      </c>
      <c r="E13" s="36" t="str">
        <f t="shared" si="1"/>
        <v>PASS</v>
      </c>
    </row>
    <row r="14" spans="1:5" x14ac:dyDescent="0.25">
      <c r="A14" s="8" t="s">
        <v>606</v>
      </c>
      <c r="B14" s="35">
        <f>ROUND('Schedule of Investments'!F9,2)</f>
        <v>194549084.71000001</v>
      </c>
      <c r="C14" s="35">
        <f>ROUND('Trial Balance'!K$7+'Trial Balance'!K$8+'Trial Balance'!K$9,2)</f>
        <v>194549084.71000001</v>
      </c>
      <c r="D14" s="22">
        <f t="shared" si="0"/>
        <v>0</v>
      </c>
      <c r="E14" s="36" t="str">
        <f t="shared" si="1"/>
        <v>PASS</v>
      </c>
    </row>
    <row r="15" spans="1:5" x14ac:dyDescent="0.25">
      <c r="A15" s="8" t="s">
        <v>607</v>
      </c>
      <c r="B15" s="35">
        <f>ROUND('Management Fee'!G51,2)</f>
        <v>33540000</v>
      </c>
      <c r="C15" s="35">
        <f>ROUND(('Trial Balance'!O$24)+('Trial Balance'!O$25),2)</f>
        <v>33540000</v>
      </c>
      <c r="D15" s="22">
        <f t="shared" si="0"/>
        <v>0</v>
      </c>
      <c r="E15" s="36" t="str">
        <f t="shared" si="1"/>
        <v>PASS</v>
      </c>
    </row>
    <row r="16" spans="1:5" x14ac:dyDescent="0.25">
      <c r="A16" s="8" t="s">
        <v>608</v>
      </c>
      <c r="B16" s="35">
        <f>ROUND('Bank Reconciliation'!G11,2)</f>
        <v>0</v>
      </c>
      <c r="C16" s="35">
        <f>ROUND(0,2)</f>
        <v>0</v>
      </c>
      <c r="D16" s="22">
        <f t="shared" si="0"/>
        <v>0</v>
      </c>
      <c r="E16" s="36" t="str">
        <f t="shared" si="1"/>
        <v>PASS</v>
      </c>
    </row>
    <row r="17" spans="1:5" x14ac:dyDescent="0.25">
      <c r="A17" s="8" t="s">
        <v>609</v>
      </c>
      <c r="B17" s="35">
        <f>ROUND(Partners!C12,2)</f>
        <v>250000000</v>
      </c>
      <c r="C17" s="35">
        <f>ROUND('Fund Terms'!B5,2)</f>
        <v>250000000</v>
      </c>
      <c r="D17" s="22">
        <f t="shared" si="0"/>
        <v>0</v>
      </c>
      <c r="E17" s="36" t="str">
        <f t="shared" si="1"/>
        <v>PASS</v>
      </c>
    </row>
    <row r="18" spans="1:5" x14ac:dyDescent="0.25">
      <c r="A18" s="8" t="s">
        <v>610</v>
      </c>
      <c r="B18" s="35">
        <f>ROUND(SUMIFS(Allocations!$E$5:$E$1700,Allocations!$D$5:$D$1700,"Capital contributions"),2)</f>
        <v>213300000</v>
      </c>
      <c r="C18" s="35">
        <f>ROUND(-('Trial Balance'!O$17),2)</f>
        <v>213300000</v>
      </c>
      <c r="D18" s="22">
        <f t="shared" si="0"/>
        <v>0</v>
      </c>
      <c r="E18" s="36" t="str">
        <f t="shared" si="1"/>
        <v>PASS</v>
      </c>
    </row>
    <row r="19" spans="1:5" x14ac:dyDescent="0.25">
      <c r="A19" s="8" t="s">
        <v>611</v>
      </c>
      <c r="B19" s="35">
        <f>ROUND(-SUMIFS(Allocations!$E$5:$E$1700,Allocations!$D$5:$D$1700,"Offering costs charged to capital"),2)</f>
        <v>900000</v>
      </c>
      <c r="C19" s="35">
        <f>ROUND('Trial Balance'!O$18,2)</f>
        <v>900000</v>
      </c>
      <c r="D19" s="22">
        <f t="shared" si="0"/>
        <v>0</v>
      </c>
      <c r="E19" s="36" t="str">
        <f t="shared" si="1"/>
        <v>PASS</v>
      </c>
    </row>
    <row r="20" spans="1:5" x14ac:dyDescent="0.25">
      <c r="A20" s="8" t="s">
        <v>612</v>
      </c>
      <c r="B20" s="35">
        <f>ROUND(SUMIFS(Allocations!$E$5:$E$1700,Allocations!$D$5:$D$1700,"Distributions"),2)</f>
        <v>412367277.69999999</v>
      </c>
      <c r="C20" s="35">
        <f>ROUND('Trial Balance'!O$19,2)</f>
        <v>412367277.69999999</v>
      </c>
      <c r="D20" s="22">
        <f t="shared" si="0"/>
        <v>0</v>
      </c>
      <c r="E20" s="36" t="str">
        <f t="shared" si="1"/>
        <v>PASS</v>
      </c>
    </row>
    <row r="21" spans="1:5" x14ac:dyDescent="0.25">
      <c r="A21" s="8" t="s">
        <v>613</v>
      </c>
      <c r="B21" s="35">
        <f>ROUND(SUMIFS(Allocations!$E$5:$E$1700,Allocations!$D$5:$D$1700,"Equalization"),2)</f>
        <v>0</v>
      </c>
      <c r="C21" s="35">
        <f>ROUND(0,2)</f>
        <v>0</v>
      </c>
      <c r="D21" s="22">
        <f t="shared" si="0"/>
        <v>0</v>
      </c>
      <c r="E21" s="36" t="str">
        <f t="shared" si="1"/>
        <v>PASS</v>
      </c>
    </row>
    <row r="22" spans="1:5" x14ac:dyDescent="0.25">
      <c r="A22" s="8" t="s">
        <v>614</v>
      </c>
      <c r="B22" s="35">
        <f>ROUND(SUMIFS(Allocations!$E$5:$E$1700,Allocations!$D$5:$D$1700,"Carried interest"),2)</f>
        <v>0</v>
      </c>
      <c r="C22" s="35">
        <f>ROUND(0,2)</f>
        <v>0</v>
      </c>
      <c r="D22" s="22">
        <f t="shared" si="0"/>
        <v>0</v>
      </c>
      <c r="E22" s="36" t="str">
        <f t="shared" si="1"/>
        <v>PASS</v>
      </c>
    </row>
    <row r="23" spans="1:5" x14ac:dyDescent="0.25">
      <c r="A23" s="8" t="s">
        <v>615</v>
      </c>
      <c r="B23" s="35">
        <f>ROUND(SUMIFS(Allocations!$E$5:$E$1700,Allocations!$D$5:$D$1700,"Investment income")+SUMIFS(Allocations!$E$5:$E$1700,Allocations!$D$5:$D$1700,"Management fee")+SUMIFS(Allocations!$E$5:$E$1700,Allocations!$D$5:$D$1700,"Other fund expenses")+SUMIFS(Allocations!$E$5:$E$1700,Allocations!$D$5:$D$1700,"Realized gain/(loss)")+SUMIFS(Allocations!$E$5:$E$1700,Allocations!$D$5:$D$1700,"Change in unrealized"),2)</f>
        <v>199967277.69999999</v>
      </c>
      <c r="C23" s="35">
        <f>ROUND('Income Statement'!N28,2)</f>
        <v>199967277.69999999</v>
      </c>
      <c r="D23" s="22">
        <f t="shared" si="0"/>
        <v>0</v>
      </c>
      <c r="E23" s="36" t="str">
        <f t="shared" si="1"/>
        <v>PASS</v>
      </c>
    </row>
    <row r="24" spans="1:5" x14ac:dyDescent="0.25">
      <c r="A24" s="8" t="s">
        <v>616</v>
      </c>
      <c r="B24" s="35">
        <f>ROUND('Trial Balance'!O$7+'Trial Balance'!O$8+'Trial Balance'!O$9,2)</f>
        <v>0</v>
      </c>
      <c r="C24" s="35">
        <f>ROUND(0,2)</f>
        <v>0</v>
      </c>
      <c r="D24" s="22">
        <f t="shared" si="0"/>
        <v>0</v>
      </c>
      <c r="E24" s="36" t="str">
        <f t="shared" si="1"/>
        <v>PASS</v>
      </c>
    </row>
    <row r="25" spans="1:5" x14ac:dyDescent="0.25">
      <c r="A25" s="42" t="s">
        <v>617</v>
      </c>
      <c r="B25" s="40">
        <f>ROUND(SUMPRODUCT(--(ABS('Investor Allocations'!B9:H9+'Investor Allocations'!B10:H10-'Investor Allocations'!B7:H7*'Investor Allocations'!J9)&gt;'Fund Terms'!B17*1.5*'Investor Allocations'!B6:H6)),2)</f>
        <v>0</v>
      </c>
      <c r="C25" s="40">
        <f>ROUND(0,2)</f>
        <v>0</v>
      </c>
      <c r="D25" s="41">
        <f t="shared" si="0"/>
        <v>0</v>
      </c>
      <c r="E25" s="43" t="str">
        <f t="shared" si="1"/>
        <v>PASS</v>
      </c>
    </row>
    <row r="26" spans="1:5" x14ac:dyDescent="0.25">
      <c r="A26" s="42" t="s">
        <v>618</v>
      </c>
      <c r="B26" s="40">
        <f>ROUND(IF('Investor Allocations'!J23&gt;0.03,1,0),2)</f>
        <v>0</v>
      </c>
      <c r="C26" s="40">
        <f>ROUND(0,2)</f>
        <v>0</v>
      </c>
      <c r="D26" s="41">
        <f t="shared" si="0"/>
        <v>0</v>
      </c>
      <c r="E26" s="43" t="str">
        <f t="shared" si="1"/>
        <v>PASS</v>
      </c>
    </row>
    <row r="27" spans="1:5" x14ac:dyDescent="0.25">
      <c r="A27" s="44" t="s">
        <v>619</v>
      </c>
      <c r="E27" s="7" t="str">
        <f>IF(AND(COUNTIF(E5:E26,"FAIL")=0,COUNTIF(E5:E26,"PASS")=22),"ALL PASS","BREAKS FOUND")</f>
        <v>ALL PASS</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TOC</vt:lpstr>
      <vt:lpstr>FS Cover</vt:lpstr>
      <vt:lpstr>Fund Terms</vt:lpstr>
      <vt:lpstr>Partners</vt:lpstr>
      <vt:lpstr>Chart of Accounts</vt:lpstr>
      <vt:lpstr>Journal Entries</vt:lpstr>
      <vt:lpstr>Trial Balance</vt:lpstr>
      <vt:lpstr>Balance Sheet</vt:lpstr>
      <vt:lpstr>Income Statement</vt:lpstr>
      <vt:lpstr>Changes in Partners Capital</vt:lpstr>
      <vt:lpstr>Cash Flow Statement</vt:lpstr>
      <vt:lpstr>Financial Highlights</vt:lpstr>
      <vt:lpstr>Schedule of Investments</vt:lpstr>
      <vt:lpstr>Allocations</vt:lpstr>
      <vt:lpstr>Investor Allocations</vt:lpstr>
      <vt:lpstr>Investor Capital Accounts</vt:lpstr>
      <vt:lpstr>Management Fee</vt:lpstr>
      <vt:lpstr>Waterfall</vt:lpstr>
      <vt:lpstr>Performance</vt:lpstr>
      <vt:lpstr>Bank Reconciliation</vt:lpstr>
      <vt:lpstr>Glossary</vt:lpstr>
      <vt:lpstr>Tie-Out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Bu</cp:lastModifiedBy>
  <dcterms:created xsi:type="dcterms:W3CDTF">2026-07-28T22:18:17Z</dcterms:created>
  <dcterms:modified xsi:type="dcterms:W3CDTF">2026-09-19T15:03:24Z</dcterms:modified>
</cp:coreProperties>
</file>